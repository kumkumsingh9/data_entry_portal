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defaultThemeVersion="166925"/>
  <mc:AlternateContent xmlns:mc="http://schemas.openxmlformats.org/markup-compatibility/2006">
    <mc:Choice Requires="x15">
      <x15ac:absPath xmlns:x15ac="http://schemas.microsoft.com/office/spreadsheetml/2010/11/ac" url="/Users/arijitchanda/Desktop/"/>
    </mc:Choice>
  </mc:AlternateContent>
  <xr:revisionPtr revIDLastSave="0" documentId="13_ncr:1_{8CC86EB3-7F4F-F340-870F-AAB0FDAC274B}" xr6:coauthVersionLast="47" xr6:coauthVersionMax="47" xr10:uidLastSave="{00000000-0000-0000-0000-000000000000}"/>
  <bookViews>
    <workbookView xWindow="0" yWindow="740" windowWidth="29400" windowHeight="16920" xr2:uid="{A4A2014B-2DCF-2746-86E7-581D7910F0E9}"/>
  </bookViews>
  <sheets>
    <sheet name="Lists" sheetId="15" r:id="rId1"/>
    <sheet name="Customer Details" sheetId="14" r:id="rId2"/>
    <sheet name="Input Sheet &lt;=$50000" sheetId="16" r:id="rId3"/>
    <sheet name="Output Sheet &lt;=$50000" sheetId="17" r:id="rId4"/>
    <sheet name="Expert Scorecard" sheetId="21" r:id="rId5"/>
    <sheet name="Financial Analysis &gt;$50000" sheetId="24" r:id="rId6"/>
    <sheet name="Bank Analysis &gt;$50000" sheetId="25" r:id="rId7"/>
    <sheet name="Credit App Memo" sheetId="23" r:id="rId8"/>
  </sheets>
  <definedNames>
    <definedName name="solver_eng" localSheetId="1" hidden="1">1</definedName>
    <definedName name="solver_lin" localSheetId="1" hidden="1">2</definedName>
    <definedName name="solver_neg" localSheetId="1" hidden="1">1</definedName>
    <definedName name="solver_num" localSheetId="1" hidden="1">0</definedName>
    <definedName name="solver_opt" localSheetId="1" hidden="1">'Customer Details'!#REF!</definedName>
    <definedName name="solver_typ" localSheetId="1" hidden="1">1</definedName>
    <definedName name="solver_val" localSheetId="1" hidden="1">0</definedName>
    <definedName name="solver_ver" localSheetId="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58" i="17" l="1"/>
  <c r="I22" i="17"/>
  <c r="H28" i="21"/>
  <c r="H24" i="21"/>
  <c r="H41" i="21"/>
  <c r="I47" i="17"/>
  <c r="E55" i="17"/>
  <c r="F55" i="17" s="1"/>
  <c r="C71" i="14"/>
  <c r="C5" i="23"/>
  <c r="C4" i="23"/>
  <c r="C76" i="16" l="1"/>
  <c r="C63" i="16"/>
  <c r="D120" i="16"/>
  <c r="H46" i="21"/>
  <c r="I45" i="17" l="1"/>
  <c r="I95" i="14" l="1"/>
  <c r="F95" i="14"/>
  <c r="C95" i="14"/>
  <c r="I81" i="14"/>
  <c r="F81" i="14"/>
  <c r="C81" i="14"/>
  <c r="C70" i="14" s="1"/>
  <c r="C142" i="16"/>
  <c r="I102" i="24"/>
  <c r="I100" i="24"/>
  <c r="J14" i="25"/>
  <c r="G15" i="25"/>
  <c r="G13" i="25"/>
  <c r="U6" i="25"/>
  <c r="T6" i="25"/>
  <c r="S6" i="25"/>
  <c r="R6" i="25"/>
  <c r="Q6" i="25"/>
  <c r="P6" i="25"/>
  <c r="O6" i="25"/>
  <c r="N6" i="25"/>
  <c r="M6" i="25"/>
  <c r="L6" i="25"/>
  <c r="K6" i="25"/>
  <c r="J6" i="25"/>
  <c r="V6" i="25" s="1"/>
  <c r="V5" i="25"/>
  <c r="G5" i="25"/>
  <c r="V4" i="25"/>
  <c r="T3" i="25"/>
  <c r="F5" i="25" s="1"/>
  <c r="G2" i="25"/>
  <c r="H18" i="21"/>
  <c r="H15" i="21"/>
  <c r="H12" i="21"/>
  <c r="H8" i="21"/>
  <c r="S3" i="25" l="1"/>
  <c r="F15" i="25"/>
  <c r="R3" i="25" l="1"/>
  <c r="E5" i="25"/>
  <c r="E15" i="25"/>
  <c r="Q3" i="25" l="1"/>
  <c r="D5" i="25"/>
  <c r="D15" i="25"/>
  <c r="P3" i="25" l="1"/>
  <c r="C5" i="25"/>
  <c r="C15" i="25"/>
  <c r="O3" i="25" l="1"/>
  <c r="N3" i="25" s="1"/>
  <c r="M3" i="25" s="1"/>
  <c r="L3" i="25" s="1"/>
  <c r="K3" i="25" s="1"/>
  <c r="J3" i="25" s="1"/>
  <c r="B5" i="25"/>
  <c r="B15" i="25"/>
  <c r="A1" i="24" l="1"/>
  <c r="C7" i="14"/>
  <c r="H4" i="21" s="1"/>
  <c r="E54" i="21"/>
  <c r="E53" i="21"/>
  <c r="D49" i="21"/>
  <c r="D130" i="24" l="1"/>
  <c r="B130" i="24"/>
  <c r="B132" i="24" s="1"/>
  <c r="D115" i="24"/>
  <c r="B115" i="24"/>
  <c r="B111" i="24"/>
  <c r="D110" i="24"/>
  <c r="B110" i="24"/>
  <c r="D106" i="24"/>
  <c r="B106" i="24"/>
  <c r="D104" i="24"/>
  <c r="B104" i="24"/>
  <c r="D103" i="24"/>
  <c r="B103" i="24"/>
  <c r="D102" i="24"/>
  <c r="B102" i="24"/>
  <c r="D101" i="24"/>
  <c r="B101" i="24"/>
  <c r="D100" i="24"/>
  <c r="B100" i="24"/>
  <c r="D94" i="24"/>
  <c r="B94" i="24"/>
  <c r="F91" i="24"/>
  <c r="D91" i="24"/>
  <c r="B91" i="24"/>
  <c r="F88" i="24"/>
  <c r="D88" i="24"/>
  <c r="B88" i="24"/>
  <c r="F86" i="24"/>
  <c r="D86" i="24"/>
  <c r="B86" i="24"/>
  <c r="F79" i="24"/>
  <c r="E79" i="24" s="1"/>
  <c r="D79" i="24"/>
  <c r="C79" i="24"/>
  <c r="B79" i="24"/>
  <c r="E78" i="24"/>
  <c r="C78" i="24"/>
  <c r="E77" i="24"/>
  <c r="C77" i="24"/>
  <c r="E74" i="24"/>
  <c r="C74" i="24"/>
  <c r="E73" i="24"/>
  <c r="C73" i="24"/>
  <c r="E72" i="24"/>
  <c r="C72" i="24"/>
  <c r="E71" i="24"/>
  <c r="C71" i="24"/>
  <c r="F70" i="24"/>
  <c r="D70" i="24"/>
  <c r="B109" i="24" s="1"/>
  <c r="B112" i="24" s="1"/>
  <c r="B70" i="24"/>
  <c r="B75" i="24" s="1"/>
  <c r="E69" i="24"/>
  <c r="C69" i="24"/>
  <c r="E67" i="24"/>
  <c r="C67" i="24"/>
  <c r="E66" i="24"/>
  <c r="C66" i="24"/>
  <c r="E65" i="24"/>
  <c r="C65" i="24"/>
  <c r="E64" i="24"/>
  <c r="C64" i="24"/>
  <c r="F63" i="24"/>
  <c r="E63" i="24"/>
  <c r="D63" i="24"/>
  <c r="C63" i="24"/>
  <c r="B63" i="24"/>
  <c r="E62" i="24"/>
  <c r="C62" i="24"/>
  <c r="E61" i="24"/>
  <c r="C61" i="24"/>
  <c r="B57" i="24"/>
  <c r="F56" i="24"/>
  <c r="D111" i="24" s="1"/>
  <c r="E56" i="24"/>
  <c r="D56" i="24"/>
  <c r="C56" i="24"/>
  <c r="B56" i="24"/>
  <c r="I98" i="24" s="1"/>
  <c r="E55" i="24"/>
  <c r="C55" i="24"/>
  <c r="E54" i="24"/>
  <c r="C54" i="24"/>
  <c r="E53" i="24"/>
  <c r="C53" i="24"/>
  <c r="E52" i="24"/>
  <c r="C52" i="24"/>
  <c r="E51" i="24"/>
  <c r="C51" i="24"/>
  <c r="F49" i="24"/>
  <c r="E49" i="24"/>
  <c r="D49" i="24"/>
  <c r="C49" i="24" s="1"/>
  <c r="B49" i="24"/>
  <c r="E48" i="24"/>
  <c r="C48" i="24"/>
  <c r="E47" i="24"/>
  <c r="C47" i="24"/>
  <c r="E46" i="24"/>
  <c r="C46" i="24"/>
  <c r="E43" i="24"/>
  <c r="C43" i="24"/>
  <c r="E42" i="24"/>
  <c r="C42" i="24"/>
  <c r="E41" i="24"/>
  <c r="C41" i="24"/>
  <c r="F40" i="24"/>
  <c r="F44" i="24" s="1"/>
  <c r="E40" i="24"/>
  <c r="D40" i="24"/>
  <c r="D44" i="24" s="1"/>
  <c r="B40" i="24"/>
  <c r="B58" i="24" s="1"/>
  <c r="E39" i="24"/>
  <c r="C39" i="24"/>
  <c r="E38" i="24"/>
  <c r="C38" i="24"/>
  <c r="E37" i="24"/>
  <c r="C37" i="24"/>
  <c r="F35" i="24"/>
  <c r="F83" i="24" s="1"/>
  <c r="D35" i="24"/>
  <c r="D83" i="24" s="1"/>
  <c r="D97" i="24" s="1"/>
  <c r="F34" i="24"/>
  <c r="D34" i="24"/>
  <c r="B34" i="24"/>
  <c r="E29" i="24"/>
  <c r="C29" i="24"/>
  <c r="E27" i="24"/>
  <c r="C27" i="24"/>
  <c r="E26" i="24"/>
  <c r="C26" i="24"/>
  <c r="E24" i="24"/>
  <c r="C24" i="24"/>
  <c r="E22" i="24"/>
  <c r="C22" i="24"/>
  <c r="F20" i="24"/>
  <c r="E20" i="24"/>
  <c r="D20" i="24"/>
  <c r="C20" i="24"/>
  <c r="B20" i="24"/>
  <c r="E19" i="24"/>
  <c r="C19" i="24"/>
  <c r="E18" i="24"/>
  <c r="C18" i="24"/>
  <c r="E17" i="24"/>
  <c r="C17" i="24"/>
  <c r="E16" i="24"/>
  <c r="C16" i="24"/>
  <c r="F14" i="24"/>
  <c r="F87" i="24" s="1"/>
  <c r="E14" i="24"/>
  <c r="D14" i="24"/>
  <c r="D87" i="24" s="1"/>
  <c r="B14" i="24"/>
  <c r="B87" i="24" s="1"/>
  <c r="E13" i="24"/>
  <c r="C13" i="24"/>
  <c r="E12" i="24"/>
  <c r="C12" i="24"/>
  <c r="E11" i="24"/>
  <c r="C11" i="24"/>
  <c r="E8" i="24"/>
  <c r="C8" i="24"/>
  <c r="F7" i="24"/>
  <c r="F9" i="24" s="1"/>
  <c r="E7" i="24"/>
  <c r="D7" i="24"/>
  <c r="J15" i="25" s="1"/>
  <c r="C7" i="24"/>
  <c r="B7" i="24"/>
  <c r="B9" i="24" s="1"/>
  <c r="E6" i="24"/>
  <c r="C6" i="24"/>
  <c r="D4" i="24"/>
  <c r="B4" i="24"/>
  <c r="B35" i="24" s="1"/>
  <c r="B83" i="24" s="1"/>
  <c r="B97" i="24" s="1"/>
  <c r="F21" i="24" l="1"/>
  <c r="F23" i="24" s="1"/>
  <c r="E9" i="24"/>
  <c r="B90" i="24"/>
  <c r="I97" i="24"/>
  <c r="I99" i="24" s="1"/>
  <c r="I101" i="24" s="1"/>
  <c r="I103" i="24" s="1"/>
  <c r="I104" i="24" s="1"/>
  <c r="F85" i="24"/>
  <c r="C14" i="24"/>
  <c r="C40" i="24"/>
  <c r="B80" i="24"/>
  <c r="C70" i="24"/>
  <c r="B89" i="24"/>
  <c r="D109" i="24"/>
  <c r="D112" i="24" s="1"/>
  <c r="F89" i="24"/>
  <c r="F75" i="24"/>
  <c r="E75" i="24" s="1"/>
  <c r="F57" i="24"/>
  <c r="B21" i="24"/>
  <c r="B23" i="24" s="1"/>
  <c r="B92" i="24" s="1"/>
  <c r="D9" i="24"/>
  <c r="D85" i="24"/>
  <c r="D84" i="24"/>
  <c r="C44" i="24"/>
  <c r="B81" i="24"/>
  <c r="F92" i="24"/>
  <c r="F25" i="24"/>
  <c r="E23" i="24"/>
  <c r="F84" i="24"/>
  <c r="E44" i="24"/>
  <c r="E57" i="24"/>
  <c r="F58" i="24"/>
  <c r="D89" i="24"/>
  <c r="B25" i="24"/>
  <c r="B28" i="24" s="1"/>
  <c r="B30" i="24" s="1"/>
  <c r="E70" i="24"/>
  <c r="B44" i="24"/>
  <c r="B84" i="24" s="1"/>
  <c r="D75" i="24"/>
  <c r="D80" i="24" s="1"/>
  <c r="C80" i="24" s="1"/>
  <c r="B131" i="24"/>
  <c r="B85" i="24"/>
  <c r="D57" i="24"/>
  <c r="E21" i="24"/>
  <c r="F80" i="24" l="1"/>
  <c r="E80" i="24" s="1"/>
  <c r="F90" i="24"/>
  <c r="D21" i="24"/>
  <c r="C9" i="24"/>
  <c r="B32" i="24"/>
  <c r="B98" i="24"/>
  <c r="B107" i="24" s="1"/>
  <c r="B113" i="24" s="1"/>
  <c r="B116" i="24" s="1"/>
  <c r="C57" i="24"/>
  <c r="D58" i="24"/>
  <c r="F28" i="24"/>
  <c r="E25" i="24"/>
  <c r="C75" i="24"/>
  <c r="D90" i="24"/>
  <c r="E58" i="24"/>
  <c r="F81" i="24"/>
  <c r="C21" i="24" l="1"/>
  <c r="D23" i="24"/>
  <c r="F30" i="24"/>
  <c r="E28" i="24"/>
  <c r="C58" i="24"/>
  <c r="D81" i="24"/>
  <c r="C23" i="24" l="1"/>
  <c r="D25" i="24"/>
  <c r="D92" i="24"/>
  <c r="F32" i="24"/>
  <c r="E32" i="24" s="1"/>
  <c r="D93" i="24" s="1"/>
  <c r="E30" i="24"/>
  <c r="C25" i="24" l="1"/>
  <c r="D28" i="24"/>
  <c r="C28" i="24" l="1"/>
  <c r="D30" i="24"/>
  <c r="K114" i="14"/>
  <c r="J113" i="14"/>
  <c r="J112" i="14"/>
  <c r="H112" i="14"/>
  <c r="J111" i="14"/>
  <c r="H111" i="14"/>
  <c r="C23" i="23"/>
  <c r="C24" i="23" s="1"/>
  <c r="I44" i="17"/>
  <c r="I46" i="17" s="1"/>
  <c r="E54" i="17" s="1"/>
  <c r="H35" i="17"/>
  <c r="I37" i="17"/>
  <c r="I33" i="17"/>
  <c r="D98" i="24" l="1"/>
  <c r="D107" i="24" s="1"/>
  <c r="D113" i="24" s="1"/>
  <c r="D116" i="24" s="1"/>
  <c r="C30" i="24"/>
  <c r="D32" i="24"/>
  <c r="C32" i="24" s="1"/>
  <c r="B93" i="24" s="1"/>
  <c r="F54" i="17"/>
  <c r="J114" i="14"/>
  <c r="F41" i="17" s="1"/>
  <c r="C19" i="23"/>
  <c r="C18" i="23"/>
  <c r="C15" i="23"/>
  <c r="C14" i="23"/>
  <c r="C13" i="23"/>
  <c r="C12" i="23"/>
  <c r="C10" i="23"/>
  <c r="C9" i="23"/>
  <c r="C8" i="23"/>
  <c r="C7" i="23"/>
  <c r="C6" i="23"/>
  <c r="M21" i="17"/>
  <c r="F44" i="17" l="1"/>
  <c r="F39" i="17"/>
  <c r="F7" i="17"/>
  <c r="F8" i="17"/>
  <c r="F9" i="17"/>
  <c r="F10" i="17"/>
  <c r="F6" i="17"/>
  <c r="F14" i="17"/>
  <c r="F5" i="17"/>
  <c r="D100" i="16"/>
  <c r="K108" i="14"/>
  <c r="J107" i="14"/>
  <c r="J106" i="14"/>
  <c r="H106" i="14"/>
  <c r="J105" i="14"/>
  <c r="H105" i="14"/>
  <c r="F35" i="17" l="1"/>
  <c r="L21" i="17"/>
  <c r="J26" i="17"/>
  <c r="F29" i="17"/>
  <c r="J28" i="17"/>
  <c r="J27" i="17"/>
  <c r="J108" i="14"/>
  <c r="E41" i="17" s="1"/>
  <c r="J29" i="17" l="1"/>
  <c r="F33" i="17"/>
  <c r="D129" i="16" l="1"/>
  <c r="E139" i="16" l="1"/>
  <c r="J21" i="17"/>
  <c r="D76" i="16"/>
  <c r="D77" i="16"/>
  <c r="D72" i="16"/>
  <c r="D63" i="16"/>
  <c r="H126" i="16"/>
  <c r="C139" i="16"/>
  <c r="E129" i="16"/>
  <c r="D58" i="16"/>
  <c r="D31" i="16"/>
  <c r="I17" i="17" s="1"/>
  <c r="D16" i="16"/>
  <c r="I5" i="17" s="1"/>
  <c r="K8" i="17"/>
  <c r="D78" i="16"/>
  <c r="E56" i="17"/>
  <c r="E51" i="17"/>
  <c r="E50" i="17"/>
  <c r="F50" i="17" s="1"/>
  <c r="E49" i="17"/>
  <c r="E44" i="17"/>
  <c r="E39" i="17"/>
  <c r="F51" i="17" l="1"/>
  <c r="F56" i="17"/>
  <c r="E57" i="17"/>
  <c r="F49" i="17"/>
  <c r="K21" i="17"/>
  <c r="F129" i="16"/>
  <c r="F130" i="16" s="1"/>
  <c r="K9" i="17"/>
  <c r="J9" i="17"/>
  <c r="I9" i="17"/>
  <c r="J8" i="17"/>
  <c r="I8" i="17"/>
  <c r="K3" i="17"/>
  <c r="J3" i="17"/>
  <c r="I3" i="17"/>
  <c r="E43" i="17"/>
  <c r="F43" i="17" s="1"/>
  <c r="E16" i="17"/>
  <c r="E17" i="17"/>
  <c r="E18" i="17"/>
  <c r="E19" i="17"/>
  <c r="E20" i="17"/>
  <c r="E21" i="17"/>
  <c r="E22" i="17"/>
  <c r="E23" i="17"/>
  <c r="E24" i="17"/>
  <c r="E25" i="17"/>
  <c r="E26" i="17"/>
  <c r="E27" i="17"/>
  <c r="E15" i="17"/>
  <c r="C16" i="17"/>
  <c r="C17" i="17"/>
  <c r="C18" i="17"/>
  <c r="C19" i="17"/>
  <c r="C20" i="17"/>
  <c r="C21" i="17"/>
  <c r="C22" i="17"/>
  <c r="C23" i="17"/>
  <c r="C24" i="17"/>
  <c r="C25" i="17"/>
  <c r="C26" i="17"/>
  <c r="C27" i="17"/>
  <c r="C28" i="17"/>
  <c r="C15" i="17"/>
  <c r="C7" i="17"/>
  <c r="C8" i="17"/>
  <c r="C9" i="17"/>
  <c r="C10" i="17"/>
  <c r="C6" i="17"/>
  <c r="C108" i="16"/>
  <c r="I15" i="17"/>
  <c r="D65" i="16"/>
  <c r="K4" i="17" s="1"/>
  <c r="K15" i="17"/>
  <c r="J15" i="17"/>
  <c r="D64" i="16"/>
  <c r="J4" i="17" s="1"/>
  <c r="I4" i="17"/>
  <c r="F57" i="17" l="1"/>
  <c r="E46" i="17"/>
  <c r="I16" i="17"/>
  <c r="E14" i="17" s="1"/>
  <c r="G129" i="16"/>
  <c r="L9" i="17"/>
  <c r="J10" i="17"/>
  <c r="I10" i="17"/>
  <c r="K10" i="17"/>
  <c r="I28" i="17" l="1"/>
  <c r="I27" i="17"/>
  <c r="L10" i="17"/>
  <c r="L11" i="17" s="1"/>
  <c r="E5" i="17" s="1"/>
  <c r="I34" i="17" s="1"/>
  <c r="I21" i="17" l="1"/>
  <c r="H33" i="21" s="1"/>
  <c r="I26" i="17"/>
  <c r="I29" i="17" s="1"/>
  <c r="F11" i="17"/>
  <c r="E47" i="17"/>
  <c r="E11" i="17"/>
  <c r="I35" i="17" l="1"/>
  <c r="I36" i="17" s="1"/>
  <c r="I38" i="17" s="1"/>
  <c r="I41" i="17" s="1"/>
  <c r="C72" i="14" s="1"/>
  <c r="H37" i="21"/>
  <c r="C100" i="16"/>
  <c r="E28" i="17"/>
  <c r="I39" i="17" l="1"/>
  <c r="I40" i="17" s="1"/>
  <c r="E53" i="17" s="1"/>
  <c r="F53" i="17" s="1"/>
  <c r="E29" i="17"/>
  <c r="F31" i="17"/>
  <c r="K35" i="17" s="1"/>
  <c r="F38" i="17" l="1"/>
  <c r="F58" i="17" s="1"/>
  <c r="L23" i="17"/>
  <c r="E31" i="17"/>
  <c r="I23" i="17" s="1"/>
  <c r="E33" i="17"/>
  <c r="F40" i="17" l="1"/>
  <c r="F42" i="17" s="1"/>
  <c r="F45" i="17" s="1"/>
  <c r="F48" i="17" s="1"/>
  <c r="F52" i="17" s="1"/>
  <c r="E35" i="17"/>
  <c r="E38" i="17" s="1"/>
  <c r="E40" i="17" l="1"/>
  <c r="E42" i="17" s="1"/>
  <c r="E45" i="17" s="1"/>
  <c r="E48" i="17" s="1"/>
  <c r="E52" i="17" s="1"/>
  <c r="C68" i="14" l="1"/>
  <c r="C21" i="23"/>
  <c r="H20" i="21"/>
  <c r="H49" i="21" s="1"/>
  <c r="I49" i="21" l="1"/>
  <c r="C20" i="23" s="1" a="1"/>
  <c r="C20" i="2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<sst xmlns="http://schemas.openxmlformats.org/spreadsheetml/2006/main" count="1064" uniqueCount="769">
  <si>
    <t>Frequency</t>
  </si>
  <si>
    <t>Monthly</t>
  </si>
  <si>
    <t>Business Income</t>
  </si>
  <si>
    <t>Seasonality</t>
  </si>
  <si>
    <t>Low</t>
  </si>
  <si>
    <t>Medium</t>
  </si>
  <si>
    <t>High</t>
  </si>
  <si>
    <t>Total</t>
  </si>
  <si>
    <t>Months (Min 0, Max 12)</t>
  </si>
  <si>
    <t xml:space="preserve">Total Sales </t>
  </si>
  <si>
    <t>A</t>
  </si>
  <si>
    <t>Average</t>
  </si>
  <si>
    <t>Daily</t>
  </si>
  <si>
    <t>Weekly</t>
  </si>
  <si>
    <t>Purchases</t>
  </si>
  <si>
    <t>Margin</t>
  </si>
  <si>
    <t xml:space="preserve">Actual </t>
  </si>
  <si>
    <t>Stated</t>
  </si>
  <si>
    <t>GP Margin</t>
  </si>
  <si>
    <t>B</t>
  </si>
  <si>
    <t xml:space="preserve">NP Margin </t>
  </si>
  <si>
    <t>C</t>
  </si>
  <si>
    <t>D</t>
  </si>
  <si>
    <t>Electricity</t>
  </si>
  <si>
    <t>E</t>
  </si>
  <si>
    <t>H</t>
  </si>
  <si>
    <t>Total Monthly Surplus</t>
  </si>
  <si>
    <t>I</t>
  </si>
  <si>
    <t>J</t>
  </si>
  <si>
    <t>Debt Burden %</t>
  </si>
  <si>
    <t>K</t>
  </si>
  <si>
    <t>L</t>
  </si>
  <si>
    <t>M</t>
  </si>
  <si>
    <t>N</t>
  </si>
  <si>
    <t>O</t>
  </si>
  <si>
    <t>P</t>
  </si>
  <si>
    <t>Q</t>
  </si>
  <si>
    <t>R</t>
  </si>
  <si>
    <t>S</t>
  </si>
  <si>
    <t>T</t>
  </si>
  <si>
    <t>Proposed Tenure</t>
  </si>
  <si>
    <t>Stock</t>
  </si>
  <si>
    <t>Existing Loan EMI (Personal + Business) + OD CC Interest</t>
  </si>
  <si>
    <t>Tenure Applied (Months)</t>
  </si>
  <si>
    <t>Month</t>
  </si>
  <si>
    <t>Sales Seasonality (Max 12 months)</t>
  </si>
  <si>
    <t>Months</t>
  </si>
  <si>
    <t>Name Of Institution</t>
  </si>
  <si>
    <t>Loan amount</t>
  </si>
  <si>
    <t>EMI</t>
  </si>
  <si>
    <t>Tenor</t>
  </si>
  <si>
    <t>Paid Tenor</t>
  </si>
  <si>
    <t>Loan to be Closed  (Yes/No)</t>
  </si>
  <si>
    <t>Obligate</t>
  </si>
  <si>
    <t>No</t>
  </si>
  <si>
    <t>No. of Days shop/factory is closed in a week</t>
  </si>
  <si>
    <t xml:space="preserve">Business Expense - Monthly </t>
  </si>
  <si>
    <t xml:space="preserve">Staff Salary </t>
  </si>
  <si>
    <t>Loan Outstanding</t>
  </si>
  <si>
    <t>Balance Tenor</t>
  </si>
  <si>
    <t>Weeks</t>
  </si>
  <si>
    <t>Total Cash Inflow</t>
  </si>
  <si>
    <t xml:space="preserve">Total Business Outflow </t>
  </si>
  <si>
    <t>U</t>
  </si>
  <si>
    <t>V</t>
  </si>
  <si>
    <t>Type of Product/Service</t>
  </si>
  <si>
    <t>Debtors</t>
  </si>
  <si>
    <t xml:space="preserve">Creditors </t>
  </si>
  <si>
    <t>5th</t>
  </si>
  <si>
    <t xml:space="preserve">Customer Details </t>
  </si>
  <si>
    <t xml:space="preserve">Mobile Number </t>
  </si>
  <si>
    <t xml:space="preserve">Enterprise Name </t>
  </si>
  <si>
    <t xml:space="preserve">Constitution of Enterprise </t>
  </si>
  <si>
    <t>Yes</t>
  </si>
  <si>
    <t xml:space="preserve">Name of the Supplier </t>
  </si>
  <si>
    <t>Location</t>
  </si>
  <si>
    <t xml:space="preserve">Payment Terms </t>
  </si>
  <si>
    <t xml:space="preserve">Supply Frequency </t>
  </si>
  <si>
    <t xml:space="preserve">Payment Timeliness </t>
  </si>
  <si>
    <t>Name of the Buyer</t>
  </si>
  <si>
    <t xml:space="preserve">Number of Years purchasing from the Customer </t>
  </si>
  <si>
    <t xml:space="preserve">Number of Years supplying to the Customer </t>
  </si>
  <si>
    <t xml:space="preserve">Purchase Frequency </t>
  </si>
  <si>
    <t xml:space="preserve">Supplier Feedback on Customer </t>
  </si>
  <si>
    <t>Product/Service Quality</t>
  </si>
  <si>
    <t xml:space="preserve">Buyer Feedback on Customer </t>
  </si>
  <si>
    <t>Negative</t>
  </si>
  <si>
    <t>Owned</t>
  </si>
  <si>
    <t>Rented</t>
  </si>
  <si>
    <t>Cash</t>
  </si>
  <si>
    <t>Credit</t>
  </si>
  <si>
    <t>Name of the Person</t>
  </si>
  <si>
    <t xml:space="preserve">Number of Years Knowing the Customer </t>
  </si>
  <si>
    <t xml:space="preserve">Relation with the Customer </t>
  </si>
  <si>
    <t xml:space="preserve">Level of interaction with customer </t>
  </si>
  <si>
    <t xml:space="preserve">Feedback on Customer </t>
  </si>
  <si>
    <t xml:space="preserve">Relative </t>
  </si>
  <si>
    <t>Friend</t>
  </si>
  <si>
    <t>Frequent (D/W/M)</t>
  </si>
  <si>
    <t>Infrequent (Q/H/A)</t>
  </si>
  <si>
    <t xml:space="preserve">Promoter/Entepreneur </t>
  </si>
  <si>
    <t xml:space="preserve">Business Activity </t>
  </si>
  <si>
    <t>Market and Demand</t>
  </si>
  <si>
    <t>Recommendation</t>
  </si>
  <si>
    <t xml:space="preserve">Number of paid regular employees </t>
  </si>
  <si>
    <t xml:space="preserve">Customer Name </t>
  </si>
  <si>
    <t xml:space="preserve">Date of Birth </t>
  </si>
  <si>
    <t xml:space="preserve">Gender </t>
  </si>
  <si>
    <t>Marital Status</t>
  </si>
  <si>
    <t>Qualification</t>
  </si>
  <si>
    <t>Residence Ownership</t>
  </si>
  <si>
    <t xml:space="preserve">Business Segment </t>
  </si>
  <si>
    <t xml:space="preserve">Business Sub-Segment </t>
  </si>
  <si>
    <t>Workplace Ownership</t>
  </si>
  <si>
    <t>New</t>
  </si>
  <si>
    <t>Existing</t>
  </si>
  <si>
    <t>Female</t>
  </si>
  <si>
    <t>Male</t>
  </si>
  <si>
    <t>Married</t>
  </si>
  <si>
    <t>Unmarried</t>
  </si>
  <si>
    <t>Higher secondary</t>
  </si>
  <si>
    <t>Graduate</t>
  </si>
  <si>
    <t>Post graduate</t>
  </si>
  <si>
    <t xml:space="preserve">Secondary </t>
  </si>
  <si>
    <t>Parental</t>
  </si>
  <si>
    <t>Proprietorship</t>
  </si>
  <si>
    <t>Partnership</t>
  </si>
  <si>
    <t>Company</t>
  </si>
  <si>
    <t xml:space="preserve">Weekly </t>
  </si>
  <si>
    <t xml:space="preserve">No. of Days Working in a  month </t>
  </si>
  <si>
    <t>Normal</t>
  </si>
  <si>
    <t>Shop/Godown/Factory Rent</t>
  </si>
  <si>
    <t>Transport/Conveyance</t>
  </si>
  <si>
    <t>Telephone/Mobile/Internet</t>
  </si>
  <si>
    <t xml:space="preserve">Gas and Water </t>
  </si>
  <si>
    <t>Repair and Maintainence</t>
  </si>
  <si>
    <t>Diesel for Generator</t>
  </si>
  <si>
    <t xml:space="preserve">Marketing </t>
  </si>
  <si>
    <t>Labour Expense</t>
  </si>
  <si>
    <t>Society Bill &amp; Security</t>
  </si>
  <si>
    <t xml:space="preserve">Entertainment </t>
  </si>
  <si>
    <t>Total Business Expense</t>
  </si>
  <si>
    <t>Total Other Income</t>
  </si>
  <si>
    <t>Tax</t>
  </si>
  <si>
    <t xml:space="preserve">On or before due date </t>
  </si>
  <si>
    <t xml:space="preserve">Paid within the month </t>
  </si>
  <si>
    <t>Occasional Overdue</t>
  </si>
  <si>
    <t>Not Applicable</t>
  </si>
  <si>
    <t xml:space="preserve">15th </t>
  </si>
  <si>
    <t xml:space="preserve">25th </t>
  </si>
  <si>
    <t>Last Month -Daily</t>
  </si>
  <si>
    <t>Two Months Back -Daily</t>
  </si>
  <si>
    <t>Three Months Month -Daily</t>
  </si>
  <si>
    <t>Sales Memo/Cash Book</t>
  </si>
  <si>
    <t>Purchase Memo/Cash Book</t>
  </si>
  <si>
    <t xml:space="preserve">Bank Balance </t>
  </si>
  <si>
    <t>Four Month -Daily</t>
  </si>
  <si>
    <t>Five Months Back -Daily</t>
  </si>
  <si>
    <t>Six Months Month -Daily</t>
  </si>
  <si>
    <t>Cash and Credit</t>
  </si>
  <si>
    <t>Positive</t>
  </si>
  <si>
    <t>Neutral</t>
  </si>
  <si>
    <t>Fortnightly</t>
  </si>
  <si>
    <t>On or Before Time</t>
  </si>
  <si>
    <t>Delayed by a few days</t>
  </si>
  <si>
    <t>Delayed by a few weeks</t>
  </si>
  <si>
    <t>Delayed by a few months</t>
  </si>
  <si>
    <t>Unpaid</t>
  </si>
  <si>
    <t>Good</t>
  </si>
  <si>
    <t>Satisfactory</t>
  </si>
  <si>
    <t xml:space="preserve">Unsatisfactory </t>
  </si>
  <si>
    <t>NO DATA ENTRY TO BE DONE IN THIS SHEET</t>
  </si>
  <si>
    <t xml:space="preserve">All Cash Inflow </t>
  </si>
  <si>
    <t xml:space="preserve">Business Cash Outlfow </t>
  </si>
  <si>
    <t>Net Profit From Business</t>
  </si>
  <si>
    <t>Loan Eligibility</t>
  </si>
  <si>
    <t xml:space="preserve">Monthly Sales Average </t>
  </si>
  <si>
    <t xml:space="preserve">Average Bank Balance </t>
  </si>
  <si>
    <t>Average Price per Service/Unit</t>
  </si>
  <si>
    <t>Type of Product/Consumables</t>
  </si>
  <si>
    <t>Number of Units</t>
  </si>
  <si>
    <t xml:space="preserve">Number of Units </t>
  </si>
  <si>
    <t>Average Product Margin</t>
  </si>
  <si>
    <t xml:space="preserve">Product Sale Price </t>
  </si>
  <si>
    <t>Type of Product</t>
  </si>
  <si>
    <t xml:space="preserve"> Product Cost Price</t>
  </si>
  <si>
    <t>Production Cost per Unit</t>
  </si>
  <si>
    <t>Gross Margin</t>
  </si>
  <si>
    <t xml:space="preserve">Qualitative Aspects to be filled up by the assessor </t>
  </si>
  <si>
    <t xml:space="preserve">Proposed Loan Details </t>
  </si>
  <si>
    <t>Sales</t>
  </si>
  <si>
    <t>Gross Margin in business (sales - purchase or cost of service/production)</t>
  </si>
  <si>
    <t>Manufacturing</t>
  </si>
  <si>
    <t>Trading</t>
  </si>
  <si>
    <t>Services</t>
  </si>
  <si>
    <t xml:space="preserve">Type of product/service supplied </t>
  </si>
  <si>
    <t>NA</t>
  </si>
  <si>
    <t>Residence Neighbour</t>
  </si>
  <si>
    <t>Business Neighbour</t>
  </si>
  <si>
    <t xml:space="preserve">Average Daily Sales </t>
  </si>
  <si>
    <t>Average Daily Purchase</t>
  </si>
  <si>
    <t>Average Sale Price per Unit</t>
  </si>
  <si>
    <t xml:space="preserve">Previous Loan Obligation </t>
  </si>
  <si>
    <t>Average Bank Balance : EMI</t>
  </si>
  <si>
    <t>G</t>
  </si>
  <si>
    <t>Product Margin</t>
  </si>
  <si>
    <t xml:space="preserve">Average Sales as per Register </t>
  </si>
  <si>
    <t xml:space="preserve">Average Purchase as per Register </t>
  </si>
  <si>
    <t>No. of Family Members staying together including customer</t>
  </si>
  <si>
    <t xml:space="preserve">Service Sale Price </t>
  </si>
  <si>
    <t xml:space="preserve"> Product Purchase Price</t>
  </si>
  <si>
    <t>Service Purchase Price</t>
  </si>
  <si>
    <t>Manufacturing &amp; Trading</t>
  </si>
  <si>
    <t>Trading &amp; Services</t>
  </si>
  <si>
    <t>Manufacturing and Services</t>
  </si>
  <si>
    <t>If Credit then how many days credit</t>
  </si>
  <si>
    <t xml:space="preserve"> </t>
  </si>
  <si>
    <t xml:space="preserve">Average Credit Throughput to Monthly sales </t>
  </si>
  <si>
    <t>NO</t>
  </si>
  <si>
    <t>Residence Stay Vintage (Years)</t>
  </si>
  <si>
    <t>No. of Earning member in the family including customer</t>
  </si>
  <si>
    <t>Business Vintage (Years)</t>
  </si>
  <si>
    <t>Workplace Vintage (Years)</t>
  </si>
  <si>
    <t>Proposed Rate %</t>
  </si>
  <si>
    <t>Rate of Interest (%)</t>
  </si>
  <si>
    <t xml:space="preserve">End Use </t>
  </si>
  <si>
    <t>INSTRUCTION - ENTER DATA ONLY AS INPUT IN LIGHT GREY SPACES</t>
  </si>
  <si>
    <t xml:space="preserve">Other Business Expense </t>
  </si>
  <si>
    <t>Product Sale Price -Trading</t>
  </si>
  <si>
    <t xml:space="preserve">To be entered at the end once cash flow is completed </t>
  </si>
  <si>
    <t xml:space="preserve">Location </t>
  </si>
  <si>
    <t>Residence Location</t>
  </si>
  <si>
    <t>Rating Weightage</t>
  </si>
  <si>
    <t xml:space="preserve">Parameters </t>
  </si>
  <si>
    <t>Parameter Weightage</t>
  </si>
  <si>
    <t>Attribute</t>
  </si>
  <si>
    <t>Scoring Scale</t>
  </si>
  <si>
    <t>Score</t>
  </si>
  <si>
    <t xml:space="preserve">Rationale for Inclusion </t>
  </si>
  <si>
    <t>Business Vintage</t>
  </si>
  <si>
    <t xml:space="preserve">Higher Business vintage indicates ability to handle favorable and adverse business cycles </t>
  </si>
  <si>
    <t xml:space="preserve">Shorter operating cycle means better cash flow </t>
  </si>
  <si>
    <t>Total (100%)</t>
  </si>
  <si>
    <t xml:space="preserve">Lowest Risk </t>
  </si>
  <si>
    <t>Max</t>
  </si>
  <si>
    <t xml:space="preserve">Low Risk </t>
  </si>
  <si>
    <t>Min</t>
  </si>
  <si>
    <t>Moderate Risk</t>
  </si>
  <si>
    <t xml:space="preserve">High Risk </t>
  </si>
  <si>
    <t xml:space="preserve">Highest Risk </t>
  </si>
  <si>
    <t>GO-NOGO CRITERIA</t>
  </si>
  <si>
    <t>Age</t>
  </si>
  <si>
    <t>Debt Burden Ratio</t>
  </si>
  <si>
    <t>Working Capital Cycle</t>
  </si>
  <si>
    <t>21-30 years</t>
  </si>
  <si>
    <t>31-40 years</t>
  </si>
  <si>
    <t>&gt;50 years</t>
  </si>
  <si>
    <t>41-50 years</t>
  </si>
  <si>
    <t xml:space="preserve">Rented </t>
  </si>
  <si>
    <t xml:space="preserve">Owned </t>
  </si>
  <si>
    <t xml:space="preserve">Single or Multiple Income Source </t>
  </si>
  <si>
    <t>Single Source</t>
  </si>
  <si>
    <t xml:space="preserve">Customer having other income </t>
  </si>
  <si>
    <t xml:space="preserve">21-30% </t>
  </si>
  <si>
    <t xml:space="preserve">&lt;=10% </t>
  </si>
  <si>
    <t xml:space="preserve">11-20% </t>
  </si>
  <si>
    <t>&gt; 30%</t>
  </si>
  <si>
    <t>&lt;30 days</t>
  </si>
  <si>
    <t>31-60 days</t>
  </si>
  <si>
    <t>61-90 days</t>
  </si>
  <si>
    <t>&gt; 90 days</t>
  </si>
  <si>
    <t xml:space="preserve">Age with experience bring in maturity </t>
  </si>
  <si>
    <t xml:space="preserve">Customer having multliple cash flow will be able handle short term liquidity issues </t>
  </si>
  <si>
    <t>Having own place means asset creation, even parental property means longer stability at the that place</t>
  </si>
  <si>
    <t xml:space="preserve">Higher gross Margin means better ability to absorb cost and credit period </t>
  </si>
  <si>
    <t>Workplace Space (Sq feet)</t>
  </si>
  <si>
    <t>Creditors</t>
  </si>
  <si>
    <t>Net Working Capital Days</t>
  </si>
  <si>
    <t xml:space="preserve">Current </t>
  </si>
  <si>
    <t xml:space="preserve">Scorecard Variables </t>
  </si>
  <si>
    <t xml:space="preserve">Based on expert judgment and policy norms </t>
  </si>
  <si>
    <t>Scorecard Weights</t>
  </si>
  <si>
    <t xml:space="preserve">Based on expert judgment </t>
  </si>
  <si>
    <t>Scorecard Attributes</t>
  </si>
  <si>
    <t xml:space="preserve">Scorecard scale </t>
  </si>
  <si>
    <t xml:space="preserve">Scorecard Implementation and Validation </t>
  </si>
  <si>
    <t>Scorecard Notes</t>
  </si>
  <si>
    <t xml:space="preserve"> It will be parallel run for 12 months with override authority with higher approval authority. During the 12 months model PSI will be tracked. After adequate bads (to be defined) are available, a statistical based scorecard will be developed and deployed with cut-off rules</t>
  </si>
  <si>
    <t>Father</t>
  </si>
  <si>
    <t>Mother</t>
  </si>
  <si>
    <t xml:space="preserve">Brother </t>
  </si>
  <si>
    <t>Sister</t>
  </si>
  <si>
    <t>Son</t>
  </si>
  <si>
    <t>Daughter</t>
  </si>
  <si>
    <t xml:space="preserve">In laws </t>
  </si>
  <si>
    <t xml:space="preserve">Relationship with Customer </t>
  </si>
  <si>
    <t>Husband</t>
  </si>
  <si>
    <t>Profession</t>
  </si>
  <si>
    <t>Salaried</t>
  </si>
  <si>
    <t>Self Employed</t>
  </si>
  <si>
    <t>Not Employed</t>
  </si>
  <si>
    <t xml:space="preserve">Customer Business Details </t>
  </si>
  <si>
    <t>INSTRUCTION - ENTER DATA ONLY AS INPUT IN LIGHT GREY SPACES &amp; LIGHT GREEN DROP DOWNS</t>
  </si>
  <si>
    <t>Work Location</t>
  </si>
  <si>
    <t>Business Acquaintance</t>
  </si>
  <si>
    <t xml:space="preserve">Type of Business </t>
  </si>
  <si>
    <t xml:space="preserve">If Salaried, then Name of company employed with </t>
  </si>
  <si>
    <t xml:space="preserve">If Salaried, Vinatge of current employement </t>
  </si>
  <si>
    <t>If Self Employed, Name of the Firm</t>
  </si>
  <si>
    <t xml:space="preserve">If Self Employed, Vintage of the firm </t>
  </si>
  <si>
    <t>Capital Expenditure</t>
  </si>
  <si>
    <t xml:space="preserve">Working Capital </t>
  </si>
  <si>
    <t>Property 1 Details</t>
  </si>
  <si>
    <t>Property 2 Details</t>
  </si>
  <si>
    <t>Type of Property</t>
  </si>
  <si>
    <t xml:space="preserve">Current Status </t>
  </si>
  <si>
    <t xml:space="preserve">% Share </t>
  </si>
  <si>
    <t>Owned by</t>
  </si>
  <si>
    <t>Owner Occupied</t>
  </si>
  <si>
    <t>Vacant</t>
  </si>
  <si>
    <t>Jointly</t>
  </si>
  <si>
    <t>Self</t>
  </si>
  <si>
    <t>Not Owned</t>
  </si>
  <si>
    <t>Bank 1 Details</t>
  </si>
  <si>
    <t xml:space="preserve">Bank Name </t>
  </si>
  <si>
    <t xml:space="preserve">Account Type </t>
  </si>
  <si>
    <t>Account Owner</t>
  </si>
  <si>
    <t>Applicant</t>
  </si>
  <si>
    <t>Co-applicant</t>
  </si>
  <si>
    <t>Applicant and CoApplicant</t>
  </si>
  <si>
    <t>Company/Firm</t>
  </si>
  <si>
    <t>Savings</t>
  </si>
  <si>
    <t>Bank 2 Details</t>
  </si>
  <si>
    <t>Make</t>
  </si>
  <si>
    <t>Model</t>
  </si>
  <si>
    <t xml:space="preserve">Year </t>
  </si>
  <si>
    <t>Other Investment 1 Details</t>
  </si>
  <si>
    <t xml:space="preserve">Name of Institution </t>
  </si>
  <si>
    <t xml:space="preserve">Type of Investment </t>
  </si>
  <si>
    <t>Shares</t>
  </si>
  <si>
    <t>Insurance</t>
  </si>
  <si>
    <t xml:space="preserve">Ever Overdue </t>
  </si>
  <si>
    <t>Supplier  Verification 1</t>
  </si>
  <si>
    <t>Supplier  Verification 2</t>
  </si>
  <si>
    <t>Other Investment 2 Details</t>
  </si>
  <si>
    <t xml:space="preserve">Buyer  Verification 1 (B2B) </t>
  </si>
  <si>
    <t>Average Price per Product/Unit</t>
  </si>
  <si>
    <t xml:space="preserve"> Customer Cash Flow </t>
  </si>
  <si>
    <t>Guarantor</t>
  </si>
  <si>
    <t xml:space="preserve">To check if this is to be considered </t>
  </si>
  <si>
    <t>&lt; 5 years</t>
  </si>
  <si>
    <t xml:space="preserve">Between 5-10years </t>
  </si>
  <si>
    <t xml:space="preserve">Between 11-15 years </t>
  </si>
  <si>
    <t>Greater than 15 years</t>
  </si>
  <si>
    <t>Constitution</t>
  </si>
  <si>
    <t xml:space="preserve">31-35% </t>
  </si>
  <si>
    <t xml:space="preserve">36-40% </t>
  </si>
  <si>
    <t xml:space="preserve">41-45% </t>
  </si>
  <si>
    <t>Customer Margin in Transaction</t>
  </si>
  <si>
    <t>&gt; 40%</t>
  </si>
  <si>
    <t xml:space="preserve">26-30% </t>
  </si>
  <si>
    <t>&lt; 25%</t>
  </si>
  <si>
    <t>Business Stability &lt; 1 years</t>
  </si>
  <si>
    <t xml:space="preserve">Customer </t>
  </si>
  <si>
    <t xml:space="preserve">Guarantor </t>
  </si>
  <si>
    <t>Net Profit From Business to be considered Based on Lower GPM</t>
  </si>
  <si>
    <t>More Formalised the entity, it is better. Also, more business partners the better</t>
  </si>
  <si>
    <t xml:space="preserve">Higher customer equity in trasaction shown skin the game </t>
  </si>
  <si>
    <t>Date of Proposal</t>
  </si>
  <si>
    <t xml:space="preserve">Purpose for Borrowing </t>
  </si>
  <si>
    <t>Business Segment</t>
  </si>
  <si>
    <t xml:space="preserve">Busness Sub-Segment </t>
  </si>
  <si>
    <t>Current Bankers</t>
  </si>
  <si>
    <t xml:space="preserve">Loan Amount Approved </t>
  </si>
  <si>
    <t>Loan Term in Months</t>
  </si>
  <si>
    <t xml:space="preserve">Interest Rate </t>
  </si>
  <si>
    <t>3rd Party Guarantor present</t>
  </si>
  <si>
    <t>3rd Party Guarantor income good to cover the EMI in case of default</t>
  </si>
  <si>
    <t>Type of Facility offered</t>
  </si>
  <si>
    <t>Term Loan</t>
  </si>
  <si>
    <t>Supplier Reference</t>
  </si>
  <si>
    <t>Buyer Refernce (B2B)</t>
  </si>
  <si>
    <t xml:space="preserve">Working Capital Requirement </t>
  </si>
  <si>
    <t>Current Loan</t>
  </si>
  <si>
    <t>Sales Growth</t>
  </si>
  <si>
    <t xml:space="preserve">Sales Growth </t>
  </si>
  <si>
    <t xml:space="preserve">CreditRisk  Score </t>
  </si>
  <si>
    <t>Net Working Capital Cycle (days)</t>
  </si>
  <si>
    <t xml:space="preserve"> Capital Expenditure Requirement </t>
  </si>
  <si>
    <t xml:space="preserve">Any current or past loans overdue </t>
  </si>
  <si>
    <t>Asset and Investment Coverage over Loan Amount (Times)</t>
  </si>
  <si>
    <t xml:space="preserve">Any policy Deviation </t>
  </si>
  <si>
    <t xml:space="preserve">Reason and Mitigant for Deviation </t>
  </si>
  <si>
    <t>Deviation Code</t>
  </si>
  <si>
    <t>L1</t>
  </si>
  <si>
    <t>L2</t>
  </si>
  <si>
    <t xml:space="preserve">Norm </t>
  </si>
  <si>
    <t xml:space="preserve">Business Vintage </t>
  </si>
  <si>
    <t xml:space="preserve">Business Stability </t>
  </si>
  <si>
    <t xml:space="preserve">Age  </t>
  </si>
  <si>
    <t>D1</t>
  </si>
  <si>
    <t>D2</t>
  </si>
  <si>
    <t>D3</t>
  </si>
  <si>
    <t>D4</t>
  </si>
  <si>
    <t>D5</t>
  </si>
  <si>
    <t>D6</t>
  </si>
  <si>
    <t xml:space="preserve">Decision </t>
  </si>
  <si>
    <t>Approve</t>
  </si>
  <si>
    <t>Reject</t>
  </si>
  <si>
    <t>Rework</t>
  </si>
  <si>
    <t xml:space="preserve">Cash Flow </t>
  </si>
  <si>
    <t xml:space="preserve">Guanrator and References </t>
  </si>
  <si>
    <t xml:space="preserve">Observations </t>
  </si>
  <si>
    <t>Approver Comments</t>
  </si>
  <si>
    <t>End Use</t>
  </si>
  <si>
    <t>DBR %</t>
  </si>
  <si>
    <t>F</t>
  </si>
  <si>
    <t>X</t>
  </si>
  <si>
    <t xml:space="preserve">Low DBR, mainly cash business,strong reference, vintage business </t>
  </si>
  <si>
    <t>Exsiting/Past Loans (Customer)</t>
  </si>
  <si>
    <t>Capital Expenditure &amp; Working Capital</t>
  </si>
  <si>
    <t xml:space="preserve">Buyer  Verification 2 (B2B) </t>
  </si>
  <si>
    <t xml:space="preserve">Expert Score </t>
  </si>
  <si>
    <t>D7</t>
  </si>
  <si>
    <r>
      <t>3</t>
    </r>
    <r>
      <rPr>
        <vertAlign val="superscript"/>
        <sz val="12"/>
        <color theme="1"/>
        <rFont val="Calibri"/>
        <family val="2"/>
        <scheme val="minor"/>
      </rPr>
      <t>rd</t>
    </r>
    <r>
      <rPr>
        <sz val="12"/>
        <color theme="1"/>
        <rFont val="Calibri"/>
        <family val="2"/>
        <scheme val="minor"/>
      </rPr>
      <t xml:space="preserve"> party Guarantor </t>
    </r>
  </si>
  <si>
    <r>
      <t>Waiver of 3</t>
    </r>
    <r>
      <rPr>
        <vertAlign val="superscript"/>
        <sz val="12"/>
        <color theme="1"/>
        <rFont val="Calibri"/>
        <family val="2"/>
        <scheme val="minor"/>
      </rPr>
      <t>rd</t>
    </r>
    <r>
      <rPr>
        <sz val="12"/>
        <color theme="1"/>
        <rFont val="Calibri"/>
        <family val="2"/>
        <scheme val="minor"/>
      </rPr>
      <t xml:space="preserve"> party guarantee </t>
    </r>
  </si>
  <si>
    <t xml:space="preserve"> Co Applicant/ Guarantor Cash Flow </t>
  </si>
  <si>
    <t>Dili</t>
  </si>
  <si>
    <t>If yes, since which year</t>
  </si>
  <si>
    <t xml:space="preserve">Does customer have any live loan </t>
  </si>
  <si>
    <t>Did the customer have any loan in last 2 years</t>
  </si>
  <si>
    <t xml:space="preserve">Co-Applicant or 3rd Party Guatantor Details </t>
  </si>
  <si>
    <t>Name</t>
  </si>
  <si>
    <t>Loan Applied Amount (USD.)</t>
  </si>
  <si>
    <t>Processing Fee</t>
  </si>
  <si>
    <t>Capital Expenditure Cost USD)</t>
  </si>
  <si>
    <t>Customer Afforable EMI (USD)</t>
  </si>
  <si>
    <t>Loan Eligilibity as per Cash Flow Analysis and Policy (USD)</t>
  </si>
  <si>
    <t xml:space="preserve">Loan Amount Approved (USD)- To be filled at the end </t>
  </si>
  <si>
    <t>Bank Balance including Fixed Deposit (USD)</t>
  </si>
  <si>
    <t>Market Value (USD)</t>
  </si>
  <si>
    <t>Market Value/Current Balance (USD)</t>
  </si>
  <si>
    <t>Mutual Fund</t>
  </si>
  <si>
    <t>Personal Reference  Verification 1 (In case it is new customer and/or Guarantor is not taken)</t>
  </si>
  <si>
    <t>Exsiting/Past Loans (Co-applicant /Guarantor)</t>
  </si>
  <si>
    <t>Total Amount (USD.)</t>
  </si>
  <si>
    <t>Total Amount (USD)</t>
  </si>
  <si>
    <t>Co applicant/Guarantor</t>
  </si>
  <si>
    <t>Sales Daily (USD)</t>
  </si>
  <si>
    <t>Sales Weekly (USD)</t>
  </si>
  <si>
    <t>Sales Monthly (USD)</t>
  </si>
  <si>
    <t>Amount (USD)</t>
  </si>
  <si>
    <t>Amount USD.)</t>
  </si>
  <si>
    <t xml:space="preserve"> Stock Value (Finished Goods) </t>
  </si>
  <si>
    <t xml:space="preserve"> Stock Value (Raw Material/Consumables) </t>
  </si>
  <si>
    <t>Applicant/Guarantor Other Income (Monthly)</t>
  </si>
  <si>
    <t>Agriculture Income (Co applicant/Guarantor)</t>
  </si>
  <si>
    <t>Rental Income (Co applicant/Guarantor)</t>
  </si>
  <si>
    <t>Salary Income(Co applicant/Guarantor)</t>
  </si>
  <si>
    <t>Allied Agri Income (Co applicant/Guarantor)</t>
  </si>
  <si>
    <t>Other income (Interest etc) (Co applicant/Guarantor)</t>
  </si>
  <si>
    <t>Cash in Hand end of month from Business  (USD)</t>
  </si>
  <si>
    <t>USD</t>
  </si>
  <si>
    <t xml:space="preserve">Total Monthly Surplus </t>
  </si>
  <si>
    <t xml:space="preserve">Eligible EMI Debt Burden </t>
  </si>
  <si>
    <t xml:space="preserve">Balance Surplus for new loan </t>
  </si>
  <si>
    <t xml:space="preserve">Customer Affordable EMI </t>
  </si>
  <si>
    <t xml:space="preserve">Monthly Cash In hand </t>
  </si>
  <si>
    <t xml:space="preserve">Eligible EMI (lower of J,K &amp; L) </t>
  </si>
  <si>
    <t xml:space="preserve">Eligible Loan Amount </t>
  </si>
  <si>
    <t xml:space="preserve">Loan Applied </t>
  </si>
  <si>
    <t xml:space="preserve">Max Loan Amount </t>
  </si>
  <si>
    <t xml:space="preserve">Final Amount </t>
  </si>
  <si>
    <t xml:space="preserve">Final EMI Amount </t>
  </si>
  <si>
    <t>Purchases (USD)</t>
  </si>
  <si>
    <t>Total Monthly Purchase (USD)</t>
  </si>
  <si>
    <t>Sales Volume Monthly (USD)</t>
  </si>
  <si>
    <t>Total Value of Assets and Investment (USD)</t>
  </si>
  <si>
    <t>Funding is required for purchasing more tyre stock. heexpects sales upside of 20% annualised and has space to additional stock</t>
  </si>
  <si>
    <t xml:space="preserve">Loan to Value  </t>
  </si>
  <si>
    <t xml:space="preserve">Repayment track </t>
  </si>
  <si>
    <t>DSCR</t>
  </si>
  <si>
    <t>Upto 1.25 times</t>
  </si>
  <si>
    <t xml:space="preserve">Upto 4 times </t>
  </si>
  <si>
    <t>Current Ratio</t>
  </si>
  <si>
    <t>D8</t>
  </si>
  <si>
    <t>D9</t>
  </si>
  <si>
    <t>D10</t>
  </si>
  <si>
    <t>D11</t>
  </si>
  <si>
    <t>These cells are calcuated fields. No data to be entered</t>
  </si>
  <si>
    <t>Profit &amp; Loss Account</t>
  </si>
  <si>
    <t>Projected</t>
  </si>
  <si>
    <t>% Growth</t>
  </si>
  <si>
    <t>Actual</t>
  </si>
  <si>
    <t>Operating Income :</t>
  </si>
  <si>
    <t>Sales/Receipts</t>
  </si>
  <si>
    <t xml:space="preserve">Other Business Income </t>
  </si>
  <si>
    <t>Total Operating Income</t>
  </si>
  <si>
    <t>Cost of Goods Sold :</t>
  </si>
  <si>
    <t>Direct Expenses (Wages, Overheads)</t>
  </si>
  <si>
    <t>Changes in Stock (Closing - Opening)</t>
  </si>
  <si>
    <t>Total Cost of Goods Sold</t>
  </si>
  <si>
    <t>Indirect Expenses :</t>
  </si>
  <si>
    <t xml:space="preserve"> General &amp; Admin Expenses</t>
  </si>
  <si>
    <t>Personnel Cost</t>
  </si>
  <si>
    <t>Selling and Distribution Expenses</t>
  </si>
  <si>
    <t>Miscellaneous / Deferred Revenue Expenses written off</t>
  </si>
  <si>
    <t>Total Indirect Expenses</t>
  </si>
  <si>
    <t>EBITDA</t>
  </si>
  <si>
    <t>Depreciation and amortisation</t>
  </si>
  <si>
    <t>EBIT</t>
  </si>
  <si>
    <t>Interest and finance charges</t>
  </si>
  <si>
    <t>PBT (Operating)</t>
  </si>
  <si>
    <t>Non Operating Income</t>
  </si>
  <si>
    <t>Non Operating Expenses</t>
  </si>
  <si>
    <t>Profit Before Tax</t>
  </si>
  <si>
    <t xml:space="preserve">Tax </t>
  </si>
  <si>
    <t>PAT</t>
  </si>
  <si>
    <t>Cash Profits</t>
  </si>
  <si>
    <t>Balance Sheet :</t>
  </si>
  <si>
    <t>Growth %</t>
  </si>
  <si>
    <t>Equity Share Capital :</t>
  </si>
  <si>
    <t xml:space="preserve">Equity and Preference Share Capital </t>
  </si>
  <si>
    <t>Quasi Equity (Promoter Loans not entailing repayment)</t>
  </si>
  <si>
    <t>General Reserve, Share Premium Reserve and Other reserves</t>
  </si>
  <si>
    <t>Net worth</t>
  </si>
  <si>
    <t>Revaluation Reserve</t>
  </si>
  <si>
    <t>Net Intangibles (Goodwill / Patents / Trademark)</t>
  </si>
  <si>
    <t>Miscellaneous / Deferred Revenue Expenses not written off</t>
  </si>
  <si>
    <t>Tangible Networth</t>
  </si>
  <si>
    <t>Long Term Debt :</t>
  </si>
  <si>
    <t>Long Term Borrowings from Banks &amp; NBFCs</t>
  </si>
  <si>
    <t>Borrowings from affiliates &amp; Associates</t>
  </si>
  <si>
    <t>Other Borrowings/ Provisions</t>
  </si>
  <si>
    <t>Total Long Term Debt</t>
  </si>
  <si>
    <t>Current Liabilities and Provisions :</t>
  </si>
  <si>
    <t>Short Term Borrowings from Affiliates &amp; Associates</t>
  </si>
  <si>
    <t>Creditors and Bills Payable</t>
  </si>
  <si>
    <t>Working Capital Limit from Banks</t>
  </si>
  <si>
    <t>Provision for Taxation</t>
  </si>
  <si>
    <t>Other Liabilities</t>
  </si>
  <si>
    <t>Total Current Liabilities</t>
  </si>
  <si>
    <t>Total Liabilities to Outsiders</t>
  </si>
  <si>
    <t>Balance Sheet Total</t>
  </si>
  <si>
    <t>Fixed Assets</t>
  </si>
  <si>
    <t>Gross Block of Fixed Assets</t>
  </si>
  <si>
    <t>Less: Depreciation</t>
  </si>
  <si>
    <t>Net Block of Fixed Assets</t>
  </si>
  <si>
    <t>Capital Work In Progress</t>
  </si>
  <si>
    <t>Miscellaneous/Deferred Revenue Expenditure not Written off</t>
  </si>
  <si>
    <t>Investments</t>
  </si>
  <si>
    <t>Deferred Tax Asset (Net Deferred Tax Liability)</t>
  </si>
  <si>
    <t>Current Assets</t>
  </si>
  <si>
    <t>Inventories</t>
  </si>
  <si>
    <t>Receivables / Debtors</t>
  </si>
  <si>
    <t xml:space="preserve"> Debtors &gt; 6 months</t>
  </si>
  <si>
    <t xml:space="preserve"> Debtors &lt; 6 months</t>
  </si>
  <si>
    <t>Cash and Bank</t>
  </si>
  <si>
    <t>Other Assets</t>
  </si>
  <si>
    <t>Total Current Assets</t>
  </si>
  <si>
    <t>Loans &amp; Advances</t>
  </si>
  <si>
    <t>Loans &amp; Advances given to directors/partners etc</t>
  </si>
  <si>
    <t>Loans and Advances given to others (Long/ Short)</t>
  </si>
  <si>
    <t>Total Loans &amp; Advances</t>
  </si>
  <si>
    <t>Financial Ratios:</t>
  </si>
  <si>
    <t>Total Outside Liabilities /Total Net Worth</t>
  </si>
  <si>
    <t>EBIDTA / Net Sales(%)</t>
  </si>
  <si>
    <t>Debtor Days</t>
  </si>
  <si>
    <t>Inventory Days</t>
  </si>
  <si>
    <t>Creditors Days</t>
  </si>
  <si>
    <t>Cash Conversion Cycle</t>
  </si>
  <si>
    <t>Debt Service Coverage Ratio</t>
  </si>
  <si>
    <t>Interest Coverage Ratio</t>
  </si>
  <si>
    <t>Growth In Profitability (%)</t>
  </si>
  <si>
    <t>Growth in Sales (%)</t>
  </si>
  <si>
    <t>Cash Flow From Operations</t>
  </si>
  <si>
    <t>Net Profit After Tax</t>
  </si>
  <si>
    <t>Add :</t>
  </si>
  <si>
    <t>Depreciation</t>
  </si>
  <si>
    <t>Misc expenses written off/non cash expenses</t>
  </si>
  <si>
    <t>Provision for tax</t>
  </si>
  <si>
    <t>Interest</t>
  </si>
  <si>
    <t>Less :</t>
  </si>
  <si>
    <t>Operating cash profit/(Loss ) before working capital changes</t>
  </si>
  <si>
    <t>(Add/ Less) Changes in Working Capital</t>
  </si>
  <si>
    <t>Trade and other receivables</t>
  </si>
  <si>
    <t>Other current liabilities</t>
  </si>
  <si>
    <t>Cash Generated from operations</t>
  </si>
  <si>
    <t>Less:</t>
  </si>
  <si>
    <t>Taxes paid</t>
  </si>
  <si>
    <t>Net Cash from Operations</t>
  </si>
  <si>
    <t>PERSONAL NETWORTH STATEMENT</t>
  </si>
  <si>
    <t>ASSETS</t>
  </si>
  <si>
    <t>LIABILITIES</t>
  </si>
  <si>
    <t xml:space="preserve">Savings in bank </t>
  </si>
  <si>
    <t>Home loan POS</t>
  </si>
  <si>
    <t xml:space="preserve">Fixed Deposit in Bank/NBFI/Post office  </t>
  </si>
  <si>
    <t>Vehicle Loan POS</t>
  </si>
  <si>
    <t xml:space="preserve">Cash In Hand </t>
  </si>
  <si>
    <t xml:space="preserve">Unsecured Loan POS </t>
  </si>
  <si>
    <t>Property (Market value)</t>
  </si>
  <si>
    <t>MSME loan POS</t>
  </si>
  <si>
    <t>Land (market value)</t>
  </si>
  <si>
    <t>Other Loans</t>
  </si>
  <si>
    <t>Recurring Deposit/SIP</t>
  </si>
  <si>
    <t xml:space="preserve">Credit Card Dues </t>
  </si>
  <si>
    <t xml:space="preserve">Insurance Surrender value </t>
  </si>
  <si>
    <t>Taxes</t>
  </si>
  <si>
    <t>Gold/Silver/previous metals</t>
  </si>
  <si>
    <t xml:space="preserve">Other Dues </t>
  </si>
  <si>
    <t>Vehicles (market value = cost- depreciation)</t>
  </si>
  <si>
    <t xml:space="preserve">Other Assets </t>
  </si>
  <si>
    <t>TOTAL</t>
  </si>
  <si>
    <t xml:space="preserve">NETWORTH (ASSETS-LIABILITIES) </t>
  </si>
  <si>
    <t>ASSETS TO LIABILITY COVERAGE RATIO</t>
  </si>
  <si>
    <t>(All figures in USD)</t>
  </si>
  <si>
    <t>Gross Margin/EBITDA</t>
  </si>
  <si>
    <t xml:space="preserve"> Shop Ownership</t>
  </si>
  <si>
    <t>LTV</t>
  </si>
  <si>
    <t xml:space="preserve">61-70% </t>
  </si>
  <si>
    <t>&gt;70%</t>
  </si>
  <si>
    <t xml:space="preserve">51-60% </t>
  </si>
  <si>
    <t xml:space="preserve">40-50% </t>
  </si>
  <si>
    <t>&lt; 40%</t>
  </si>
  <si>
    <t>&lt;=40</t>
  </si>
  <si>
    <t xml:space="preserve">46-50% </t>
  </si>
  <si>
    <t>&gt; 50%</t>
  </si>
  <si>
    <t>Between 1.34 -1.50 times</t>
  </si>
  <si>
    <t>Between 1.51 -1.75 times</t>
  </si>
  <si>
    <t>&gt; 1.75 times</t>
  </si>
  <si>
    <t>1.2 - 1.33 times</t>
  </si>
  <si>
    <t xml:space="preserve">Currently overdue irrespectIve of DPD or past overdue &gt;= 90 DPD last 2 years </t>
  </si>
  <si>
    <t>No loans</t>
  </si>
  <si>
    <t>Repayment Track</t>
  </si>
  <si>
    <t>Comments to be input by sales Officer</t>
  </si>
  <si>
    <t>Single of income</t>
  </si>
  <si>
    <t xml:space="preserve">Does Customer have more than one income source </t>
  </si>
  <si>
    <t xml:space="preserve">Higher DSCR means better EMII repayment capacity </t>
  </si>
  <si>
    <t xml:space="preserve">Lower DBR ratio means better EMII repayment capacity </t>
  </si>
  <si>
    <t xml:space="preserve">Lower LTV means greater equity in collateral lowering risk and better recovery rate </t>
  </si>
  <si>
    <t>Average Monthly Supply Amount (USD)</t>
  </si>
  <si>
    <t>Average Monthly Purchase Amount (USD)</t>
  </si>
  <si>
    <t xml:space="preserve">If existing track record for personal or business is good, then proepr intent is established </t>
  </si>
  <si>
    <t xml:space="preserve">No loans </t>
  </si>
  <si>
    <t>Annual Sales USD</t>
  </si>
  <si>
    <t>Working capital required (USD)</t>
  </si>
  <si>
    <t>Current Working Capital Funded - USD</t>
  </si>
  <si>
    <t>Additional Working Capital required USD)</t>
  </si>
  <si>
    <t>Cost of Asset all inclusive USD</t>
  </si>
  <si>
    <t>Qualitative (35%)</t>
  </si>
  <si>
    <t>Quantitative (65%)</t>
  </si>
  <si>
    <t>Payment Mode</t>
  </si>
  <si>
    <t xml:space="preserve">Cash </t>
  </si>
  <si>
    <t>Bank</t>
  </si>
  <si>
    <t xml:space="preserve">Existing Customer </t>
  </si>
  <si>
    <t>Min Age &lt; 18 years  &amp; Max Age &gt; 68 years</t>
  </si>
  <si>
    <t xml:space="preserve">Age </t>
  </si>
  <si>
    <t xml:space="preserve">Deviation </t>
  </si>
  <si>
    <t>+5%</t>
  </si>
  <si>
    <t>Debt Burden Ratio &lt;$ 50000</t>
  </si>
  <si>
    <t>&lt;90 DPD</t>
  </si>
  <si>
    <t xml:space="preserve">Not Available </t>
  </si>
  <si>
    <t xml:space="preserve">Property type </t>
  </si>
  <si>
    <t xml:space="preserve">Industrial </t>
  </si>
  <si>
    <t>D12</t>
  </si>
  <si>
    <t>D13</t>
  </si>
  <si>
    <t xml:space="preserve">Current Ratio loans &gt; $50000  </t>
  </si>
  <si>
    <t xml:space="preserve">Financial and bank statements Loans &gt; $50000  </t>
  </si>
  <si>
    <t xml:space="preserve">DSCR Loans &gt; $50000  </t>
  </si>
  <si>
    <t xml:space="preserve">TOL/TNW Loans &gt; $50000  </t>
  </si>
  <si>
    <t>GP Margin Considered</t>
  </si>
  <si>
    <t xml:space="preserve">0 DPD in last 6 months, never been in 30 DPD in last 12 months and currently not delinquent </t>
  </si>
  <si>
    <t xml:space="preserve">never 30 DPD in last 6 months, never been in 60 DPD in last 12 months and currently not delinquent </t>
  </si>
  <si>
    <t>Bank Name</t>
  </si>
  <si>
    <t>ABB</t>
  </si>
  <si>
    <t>Banking Credits fort last 12 months</t>
  </si>
  <si>
    <t>Concentration</t>
  </si>
  <si>
    <t>Account Type</t>
  </si>
  <si>
    <t>Savings/Current</t>
  </si>
  <si>
    <t>Bank - 1 (Credit )</t>
  </si>
  <si>
    <t>Dates</t>
  </si>
  <si>
    <t>Bank -2 (Credit )</t>
  </si>
  <si>
    <t>Total Credits</t>
  </si>
  <si>
    <t>10th</t>
  </si>
  <si>
    <t>15th</t>
  </si>
  <si>
    <t xml:space="preserve">Note </t>
  </si>
  <si>
    <t>20th</t>
  </si>
  <si>
    <t xml:space="preserve">Please input end of month credit balances including bank transfers, cash deposit but excluding contra entries </t>
  </si>
  <si>
    <t>25th</t>
  </si>
  <si>
    <t>Last Day of the month</t>
  </si>
  <si>
    <t>Sales Through Put in Bank</t>
  </si>
  <si>
    <t xml:space="preserve">Please input end of Day balances for the last 6 months from the operating bank accounts for specific dates to understand  average bank balance for the period </t>
  </si>
  <si>
    <t>(All figures in $)</t>
  </si>
  <si>
    <t>Total Credits (Amt) $</t>
  </si>
  <si>
    <t>Other Current Liabilities (other than bank borrowings)</t>
  </si>
  <si>
    <t>Working Capital Gap (WCG) (A-B)</t>
  </si>
  <si>
    <t>Customer  Margin %</t>
  </si>
  <si>
    <t>Customer  Contribution (of C)</t>
  </si>
  <si>
    <t xml:space="preserve">Existing Bank Borrowing for working Capital </t>
  </si>
  <si>
    <t>Net Working Capital &amp; Customer Margin</t>
  </si>
  <si>
    <t>Balance Working Capital Funding Requirement (D-E)</t>
  </si>
  <si>
    <t xml:space="preserve">Loan Amount </t>
  </si>
  <si>
    <t>82-100</t>
  </si>
  <si>
    <t>76-81</t>
  </si>
  <si>
    <t>69-75</t>
  </si>
  <si>
    <t>63-68</t>
  </si>
  <si>
    <t>30-62</t>
  </si>
  <si>
    <t xml:space="preserve">Never 30 DPD in last 6 months, never been in 60 DPD in last 12 months and currently not delinquent </t>
  </si>
  <si>
    <t>Wife</t>
  </si>
  <si>
    <t>Loan Type</t>
  </si>
  <si>
    <t>Secured</t>
  </si>
  <si>
    <t>Unsecured</t>
  </si>
  <si>
    <t>Residential</t>
  </si>
  <si>
    <t>Commercial</t>
  </si>
  <si>
    <t xml:space="preserve">Vaue to be considered as LTV </t>
  </si>
  <si>
    <t>Property 3 Details</t>
  </si>
  <si>
    <t>Motor Vehicles 1 Details</t>
  </si>
  <si>
    <t>Motor Vehicles 2 Details</t>
  </si>
  <si>
    <t>Motor Vehicles 3 Details</t>
  </si>
  <si>
    <t xml:space="preserve">Expected Customer Margin in Working Capital Transaction </t>
  </si>
  <si>
    <t xml:space="preserve">Expected Customer Margin in Capital Expenditure Transaction </t>
  </si>
  <si>
    <t>Customer Contribution</t>
  </si>
  <si>
    <t>Additional Working Capital Funding Required</t>
  </si>
  <si>
    <t>Additional Working Capital Required (Soum mn.)</t>
  </si>
  <si>
    <t>Funding Required for Fixed Asset</t>
  </si>
  <si>
    <t>Y</t>
  </si>
  <si>
    <t>Z</t>
  </si>
  <si>
    <t xml:space="preserve">Customer Equity(/Margin) - Stated </t>
  </si>
  <si>
    <t xml:space="preserve">Funding Amount required </t>
  </si>
  <si>
    <t>Currently No loans</t>
  </si>
  <si>
    <t>(Either C20, C21, C22  will be TRUE, so If this condition is true put "YES", else "NO")</t>
  </si>
  <si>
    <t>(Either C20, C21, C22  will be TRUE, so If this condition is true put "No", else "Yes")</t>
  </si>
  <si>
    <t>Fedilia Perriera</t>
  </si>
  <si>
    <t xml:space="preserve">Fashion Global </t>
  </si>
  <si>
    <t>Garments</t>
  </si>
  <si>
    <t>Mandiri</t>
  </si>
  <si>
    <t xml:space="preserve">Marciano Pello </t>
  </si>
  <si>
    <t>Women Dress</t>
  </si>
  <si>
    <t>Ladies Dress</t>
  </si>
  <si>
    <t xml:space="preserve">Ladies Night dress </t>
  </si>
  <si>
    <t>Branch</t>
  </si>
  <si>
    <t xml:space="preserve">Date of Loan Application </t>
  </si>
  <si>
    <t xml:space="preserve">Branch </t>
  </si>
  <si>
    <t>Dilli</t>
  </si>
  <si>
    <t>Secured – less than 1 years
Unsecured - Less than 3 years</t>
  </si>
  <si>
    <t>Less than 1year</t>
  </si>
  <si>
    <t>Upto 2 years (+/-)</t>
  </si>
  <si>
    <t>High/Highest Risk</t>
  </si>
  <si>
    <t>Customer is a graduate by qualifcation is running the garments business for 8 years at the same shop which is rented. . Earlier, she was working in a  department shop as a sales person</t>
  </si>
  <si>
    <t xml:space="preserve"> Fashion Global is ladies garment shop. It is located in Dili in rented 700 sft. space. Most of the products are purchased from credit of 7 days. Sales is mainoy on cash. Applicant is full time involved with this business. One full time staff is employed in the shop. Sister also supports in Business</t>
  </si>
  <si>
    <t>There is very good demand of ladies garment in Dili.  She has a lot of repeat customers who come to purchase ladies garments</t>
  </si>
  <si>
    <t>Cash flow is supporting of loan amount USD 20000. She is putting in an equity of $26000 herself for a sale growth of 25%</t>
  </si>
  <si>
    <t>there is no guarnator in the transaction and customer providing property which is jointly owned by sister who will be the co-applicant</t>
  </si>
  <si>
    <t xml:space="preserve">We would recommend a loan of USD 20000 for 2 years as she is  good customer having comfortable cash flow, good business vintage and positve reference checks  </t>
  </si>
  <si>
    <t>There is a genuine business end use. The sale growth assumptions are resonable. Cash flow is supportive. Postive reference checks and residential property as collateral</t>
  </si>
  <si>
    <t>Maria</t>
  </si>
  <si>
    <t>Company owned</t>
  </si>
  <si>
    <t>Quarterly</t>
  </si>
  <si>
    <t>Annualy</t>
  </si>
  <si>
    <t xml:space="preserve">Loan per program LTV </t>
  </si>
  <si>
    <t>Loan to Market Value (%)</t>
  </si>
  <si>
    <t>Customer Margin in Transaction (%)</t>
  </si>
  <si>
    <t>Average  Supply Amount (USD)</t>
  </si>
  <si>
    <t>Average Purchase Amount (USD)</t>
  </si>
  <si>
    <t xml:space="preserve">Actual Customer Margin </t>
  </si>
  <si>
    <t>Loan Amount as per LTV</t>
  </si>
  <si>
    <t>AA</t>
  </si>
  <si>
    <t>Actual Customer Margin</t>
  </si>
  <si>
    <t xml:space="preserve">Proprietorship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</si>
</sst>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 #,##0_ ;_ * \-#,##0_ ;_ * &quot;-&quot;??_ ;_ @_ "/>
    <numFmt numFmtId="165" formatCode="#,##0;[Red]#,##0"/>
    <numFmt numFmtId="166" formatCode="_(* #,##0_);_(* \(#,##0\);_(* &quot;-&quot;??_);_(@_)"/>
    <numFmt numFmtId="167" formatCode="0.0%"/>
    <numFmt numFmtId="168" formatCode="[$-409]mmm\-yy;@"/>
  </numFmts>
  <fonts count="27"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sz val="12"/>
      <color theme="1"/>
      <name val="Courier New"/>
      <family val="1"/>
    </font>
    <font>
      <sz val="10"/>
      <name val="Arial"/>
      <family val="2"/>
    </font>
    <font>
      <sz val="12"/>
      <color theme="0"/>
      <name val="Calibri"/>
      <family val="2"/>
      <scheme val="minor"/>
    </font>
    <font>
      <b/>
      <sz val="12"/>
      <color theme="1" tint="4.9989318521683403E-2"/>
      <name val="Calibri"/>
      <family val="2"/>
      <scheme val="minor"/>
    </font>
    <font>
      <b/>
      <sz val="12"/>
      <color theme="0"/>
      <name val="Calibri"/>
      <family val="2"/>
      <scheme val="minor"/>
    </font>
    <font>
      <b/>
      <sz val="12"/>
      <color theme="9" tint="-0.499984740745262"/>
      <name val="Calibri"/>
      <family val="2"/>
      <scheme val="minor"/>
    </font>
    <font>
      <sz val="12"/>
      <color rgb="FF000000"/>
      <name val="Calibri"/>
      <family val="2"/>
      <scheme val="minor"/>
    </font>
    <font>
      <sz val="12"/>
      <name val="Calibri"/>
      <family val="2"/>
      <scheme val="minor"/>
    </font>
    <font>
      <b/>
      <sz val="12"/>
      <color rgb="FF000000"/>
      <name val="Calibri"/>
      <family val="2"/>
      <scheme val="minor"/>
    </font>
    <font>
      <b/>
      <sz val="12"/>
      <color rgb="FFFFFFFF"/>
      <name val="Calibri"/>
      <family val="2"/>
    </font>
    <font>
      <sz val="8"/>
      <name val="Calibri"/>
      <family val="2"/>
      <scheme val="minor"/>
    </font>
    <font>
      <vertAlign val="superscript"/>
      <sz val="12"/>
      <color theme="1"/>
      <name val="Calibri"/>
      <family val="2"/>
      <scheme val="minor"/>
    </font>
    <font>
      <sz val="12"/>
      <color theme="1"/>
      <name val="Calibri"/>
      <family val="2"/>
    </font>
    <font>
      <b/>
      <sz val="14"/>
      <color theme="0"/>
      <name val="Calibri"/>
      <family val="2"/>
      <scheme val="minor"/>
    </font>
    <font>
      <sz val="14"/>
      <name val="Calibri"/>
      <family val="2"/>
      <scheme val="minor"/>
    </font>
    <font>
      <b/>
      <sz val="14"/>
      <name val="Calibri"/>
      <family val="2"/>
      <scheme val="minor"/>
    </font>
    <font>
      <sz val="14"/>
      <color theme="1"/>
      <name val="Calibri"/>
      <family val="2"/>
      <scheme val="minor"/>
    </font>
    <font>
      <b/>
      <sz val="12"/>
      <color theme="0"/>
      <name val="Calibri"/>
      <family val="2"/>
    </font>
    <font>
      <b/>
      <sz val="14"/>
      <color indexed="8"/>
      <name val="Calibri"/>
      <family val="2"/>
      <scheme val="minor"/>
    </font>
    <font>
      <sz val="14"/>
      <color theme="0"/>
      <name val="Calibri"/>
      <family val="2"/>
      <scheme val="minor"/>
    </font>
    <font>
      <b/>
      <sz val="14"/>
      <color theme="1"/>
      <name val="Calibri"/>
      <family val="2"/>
      <scheme val="minor"/>
    </font>
    <font>
      <sz val="12"/>
      <color rgb="FF000000"/>
      <name val="Calibri"/>
      <family val="2"/>
    </font>
  </fonts>
  <fills count="15">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00B05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8" tint="-0.249977111117893"/>
        <bgColor indexed="64"/>
      </patternFill>
    </fill>
  </fills>
  <borders count="7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right/>
      <top style="medium">
        <color auto="1"/>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auto="1"/>
      </right>
      <top style="medium">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auto="1"/>
      </right>
      <top style="thin">
        <color auto="1"/>
      </top>
      <bottom style="medium">
        <color auto="1"/>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style="medium">
        <color indexed="64"/>
      </left>
      <right style="medium">
        <color auto="1"/>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bottom/>
      <diagonal/>
    </border>
    <border>
      <left style="thin">
        <color auto="1"/>
      </left>
      <right/>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medium">
        <color auto="1"/>
      </top>
      <bottom style="thin">
        <color auto="1"/>
      </bottom>
      <diagonal/>
    </border>
    <border>
      <left/>
      <right/>
      <top style="thin">
        <color auto="1"/>
      </top>
      <bottom style="medium">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thin">
        <color auto="1"/>
      </right>
      <top style="medium">
        <color auto="1"/>
      </top>
      <bottom/>
      <diagonal/>
    </border>
    <border>
      <left style="medium">
        <color indexed="64"/>
      </left>
      <right style="thin">
        <color auto="1"/>
      </right>
      <top/>
      <bottom style="medium">
        <color indexed="64"/>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style="thin">
        <color auto="1"/>
      </top>
      <bottom/>
      <diagonal/>
    </border>
    <border>
      <left style="medium">
        <color auto="1"/>
      </left>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auto="1"/>
      </bottom>
      <diagonal/>
    </border>
    <border>
      <left style="thin">
        <color auto="1"/>
      </left>
      <right/>
      <top style="thin">
        <color auto="1"/>
      </top>
      <bottom style="medium">
        <color auto="1"/>
      </bottom>
      <diagonal/>
    </border>
    <border>
      <left/>
      <right style="medium">
        <color auto="1"/>
      </right>
      <top style="thin">
        <color auto="1"/>
      </top>
      <bottom/>
      <diagonal/>
    </border>
    <border>
      <left/>
      <right style="medium">
        <color auto="1"/>
      </right>
      <top/>
      <bottom style="thin">
        <color auto="1"/>
      </bottom>
      <diagonal/>
    </border>
    <border>
      <left style="medium">
        <color indexed="64"/>
      </left>
      <right/>
      <top style="thin">
        <color auto="1"/>
      </top>
      <bottom/>
      <diagonal/>
    </border>
    <border>
      <left style="medium">
        <color indexed="64"/>
      </left>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bottom style="thin">
        <color auto="1"/>
      </bottom>
      <diagonal/>
    </border>
    <border>
      <left style="thin">
        <color auto="1"/>
      </left>
      <right style="thin">
        <color auto="1"/>
      </right>
      <top/>
      <bottom style="medium">
        <color indexed="64"/>
      </bottom>
      <diagonal/>
    </border>
    <border>
      <left style="thin">
        <color auto="1"/>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top style="medium">
        <color auto="1"/>
      </top>
      <bottom style="medium">
        <color auto="1"/>
      </bottom>
      <diagonal/>
    </border>
    <border>
      <left style="thin">
        <color auto="1"/>
      </left>
      <right/>
      <top style="medium">
        <color auto="1"/>
      </top>
      <bottom/>
      <diagonal/>
    </border>
    <border>
      <left style="medium">
        <color auto="1"/>
      </left>
      <right style="thin">
        <color auto="1"/>
      </right>
      <top/>
      <bottom/>
      <diagonal/>
    </border>
    <border>
      <left/>
      <right style="thin">
        <color indexed="64"/>
      </right>
      <top style="medium">
        <color indexed="64"/>
      </top>
      <bottom style="medium">
        <color auto="1"/>
      </bottom>
      <diagonal/>
    </border>
    <border>
      <left/>
      <right style="thin">
        <color auto="1"/>
      </right>
      <top/>
      <bottom style="medium">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43" fontId="6" fillId="0" borderId="0" applyFont="0" applyFill="0" applyBorder="0" applyAlignment="0" applyProtection="0"/>
    <xf numFmtId="0" fontId="1" fillId="0" borderId="0"/>
    <xf numFmtId="0" fontId="6" fillId="0" borderId="0" applyNumberFormat="0" applyFill="0" applyBorder="0" applyAlignment="0" applyProtection="0"/>
  </cellStyleXfs>
  <cellXfs count="585">
    <xf numFmtId="0" fontId="0" fillId="0" borderId="0" xfId="0"/>
    <xf numFmtId="0" fontId="0" fillId="0" borderId="1" xfId="0" applyBorder="1" applyAlignment="1">
      <alignment horizontal="center" vertical="center"/>
    </xf>
    <xf numFmtId="164" fontId="0" fillId="0" borderId="1" xfId="1" applyNumberFormat="1" applyFont="1" applyFill="1" applyBorder="1" applyAlignment="1">
      <alignment horizontal="center" vertical="center"/>
    </xf>
    <xf numFmtId="9" fontId="0" fillId="0" borderId="0" xfId="2" applyFont="1" applyAlignment="1">
      <alignment vertical="center"/>
    </xf>
    <xf numFmtId="0" fontId="3" fillId="0" borderId="0" xfId="0" applyFont="1" applyAlignment="1">
      <alignment horizontal="center" vertical="center"/>
    </xf>
    <xf numFmtId="0" fontId="0" fillId="0" borderId="1" xfId="0" applyBorder="1" applyAlignment="1">
      <alignment horizontal="center"/>
    </xf>
    <xf numFmtId="0" fontId="0" fillId="0" borderId="0" xfId="0" applyAlignment="1">
      <alignment wrapText="1"/>
    </xf>
    <xf numFmtId="0" fontId="0" fillId="0" borderId="0" xfId="0" applyAlignment="1">
      <alignment horizontal="center"/>
    </xf>
    <xf numFmtId="0" fontId="4" fillId="0" borderId="0" xfId="0" applyFont="1"/>
    <xf numFmtId="0" fontId="0" fillId="0" borderId="0" xfId="0" applyAlignment="1">
      <alignment horizontal="center" wrapText="1"/>
    </xf>
    <xf numFmtId="164" fontId="0" fillId="0" borderId="1" xfId="1" applyNumberFormat="1" applyFont="1" applyBorder="1" applyAlignment="1">
      <alignment horizontal="right" vertic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9" fontId="0" fillId="0" borderId="1" xfId="0" applyNumberFormat="1" applyBorder="1" applyAlignment="1">
      <alignment horizontal="center" vertical="center"/>
    </xf>
    <xf numFmtId="0" fontId="5" fillId="0" borderId="0" xfId="0" applyFont="1"/>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vertical="center" wrapText="1"/>
    </xf>
    <xf numFmtId="166" fontId="0" fillId="0" borderId="0" xfId="1" applyNumberFormat="1" applyFont="1" applyFill="1" applyBorder="1" applyAlignment="1">
      <alignment wrapText="1"/>
    </xf>
    <xf numFmtId="0" fontId="0" fillId="0" borderId="0" xfId="0" applyAlignment="1">
      <alignment horizontal="right" wrapText="1"/>
    </xf>
    <xf numFmtId="9" fontId="0" fillId="0" borderId="0" xfId="0" applyNumberFormat="1" applyAlignment="1">
      <alignment horizontal="right" wrapText="1"/>
    </xf>
    <xf numFmtId="1" fontId="0" fillId="0" borderId="10" xfId="0" applyNumberFormat="1" applyBorder="1" applyAlignment="1">
      <alignment horizontal="center"/>
    </xf>
    <xf numFmtId="0" fontId="0" fillId="0" borderId="10" xfId="0" applyBorder="1" applyAlignment="1">
      <alignment horizontal="center"/>
    </xf>
    <xf numFmtId="0" fontId="0" fillId="0" borderId="20" xfId="0" applyBorder="1" applyAlignment="1">
      <alignment horizontal="left" wrapText="1"/>
    </xf>
    <xf numFmtId="0" fontId="3" fillId="0" borderId="12" xfId="0" applyFont="1" applyBorder="1" applyAlignment="1">
      <alignment horizontal="center" wrapText="1"/>
    </xf>
    <xf numFmtId="1" fontId="0" fillId="0" borderId="0" xfId="0" applyNumberFormat="1"/>
    <xf numFmtId="0" fontId="3" fillId="0" borderId="23" xfId="0" applyFont="1" applyBorder="1" applyAlignment="1">
      <alignment horizontal="center" wrapText="1"/>
    </xf>
    <xf numFmtId="0" fontId="0" fillId="0" borderId="0" xfId="0" applyAlignment="1">
      <alignment horizontal="center" vertical="center" wrapText="1"/>
    </xf>
    <xf numFmtId="0" fontId="0" fillId="0" borderId="34" xfId="0" applyBorder="1" applyAlignment="1">
      <alignment horizontal="center"/>
    </xf>
    <xf numFmtId="0" fontId="3" fillId="0" borderId="12" xfId="0" applyFont="1" applyBorder="1" applyAlignment="1">
      <alignment horizontal="center" vertical="center" wrapText="1"/>
    </xf>
    <xf numFmtId="0" fontId="0" fillId="0" borderId="24" xfId="0" applyBorder="1" applyAlignment="1">
      <alignment horizontal="center"/>
    </xf>
    <xf numFmtId="0" fontId="0" fillId="0" borderId="14" xfId="0" applyBorder="1" applyAlignment="1">
      <alignment horizontal="center"/>
    </xf>
    <xf numFmtId="0" fontId="0" fillId="0" borderId="39" xfId="0" applyBorder="1" applyAlignment="1">
      <alignment horizontal="left" wrapText="1"/>
    </xf>
    <xf numFmtId="0" fontId="0" fillId="0" borderId="40" xfId="0" applyBorder="1" applyAlignment="1">
      <alignment horizontal="left" wrapText="1"/>
    </xf>
    <xf numFmtId="0" fontId="0" fillId="0" borderId="4" xfId="0" applyBorder="1" applyAlignment="1">
      <alignment vertical="center"/>
    </xf>
    <xf numFmtId="0" fontId="0" fillId="0" borderId="42" xfId="0" applyBorder="1" applyAlignment="1">
      <alignment vertical="center"/>
    </xf>
    <xf numFmtId="0" fontId="0" fillId="0" borderId="3" xfId="0" applyBorder="1" applyAlignment="1">
      <alignment vertical="center"/>
    </xf>
    <xf numFmtId="0" fontId="0" fillId="0" borderId="44" xfId="0" applyBorder="1" applyAlignment="1">
      <alignment vertical="center"/>
    </xf>
    <xf numFmtId="164" fontId="0" fillId="0" borderId="1" xfId="1" applyNumberFormat="1" applyFont="1" applyBorder="1" applyAlignment="1">
      <alignment horizontal="center" vertical="center"/>
    </xf>
    <xf numFmtId="0" fontId="8" fillId="0" borderId="36" xfId="0" applyFont="1" applyBorder="1"/>
    <xf numFmtId="0" fontId="0" fillId="0" borderId="45" xfId="0" applyBorder="1"/>
    <xf numFmtId="0" fontId="0" fillId="0" borderId="45" xfId="0" applyBorder="1" applyAlignment="1">
      <alignment horizontal="center"/>
    </xf>
    <xf numFmtId="1" fontId="0" fillId="0" borderId="0" xfId="0" applyNumberFormat="1" applyAlignment="1">
      <alignment horizontal="center"/>
    </xf>
    <xf numFmtId="9" fontId="0" fillId="0" borderId="0" xfId="2" applyFont="1" applyBorder="1" applyAlignment="1">
      <alignment horizontal="center"/>
    </xf>
    <xf numFmtId="0" fontId="0" fillId="0" borderId="21" xfId="0" applyBorder="1" applyAlignment="1">
      <alignment horizontal="center" vertical="center"/>
    </xf>
    <xf numFmtId="164" fontId="0" fillId="0" borderId="10" xfId="1" applyNumberFormat="1" applyFont="1" applyBorder="1" applyAlignment="1">
      <alignment horizontal="right" vertical="center"/>
    </xf>
    <xf numFmtId="164" fontId="0" fillId="0" borderId="21" xfId="1" applyNumberFormat="1" applyFont="1" applyFill="1" applyBorder="1" applyAlignment="1">
      <alignment horizontal="right" vertical="center"/>
    </xf>
    <xf numFmtId="164" fontId="0" fillId="0" borderId="22" xfId="1" applyNumberFormat="1" applyFont="1" applyFill="1" applyBorder="1" applyAlignment="1">
      <alignment horizontal="right" vertical="center"/>
    </xf>
    <xf numFmtId="164" fontId="0" fillId="0" borderId="8" xfId="1" applyNumberFormat="1" applyFont="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164" fontId="0" fillId="0" borderId="8" xfId="1" applyNumberFormat="1" applyFont="1" applyFill="1" applyBorder="1" applyAlignment="1">
      <alignment horizontal="center" vertical="center"/>
    </xf>
    <xf numFmtId="164" fontId="0" fillId="0" borderId="10" xfId="1" applyNumberFormat="1" applyFont="1" applyFill="1" applyBorder="1" applyAlignment="1">
      <alignment horizontal="center" vertical="center"/>
    </xf>
    <xf numFmtId="0" fontId="0" fillId="0" borderId="11" xfId="0" applyBorder="1" applyAlignment="1">
      <alignment horizontal="center" vertical="center"/>
    </xf>
    <xf numFmtId="164" fontId="0" fillId="0" borderId="22" xfId="1" applyNumberFormat="1" applyFont="1" applyFill="1" applyBorder="1" applyAlignment="1">
      <alignment horizontal="center" vertical="center"/>
    </xf>
    <xf numFmtId="9" fontId="0" fillId="0" borderId="8" xfId="2" applyFont="1" applyFill="1" applyBorder="1" applyAlignment="1">
      <alignment horizontal="center" vertical="center"/>
    </xf>
    <xf numFmtId="9" fontId="0" fillId="0" borderId="11" xfId="2" applyFont="1" applyBorder="1" applyAlignment="1">
      <alignment horizontal="center" vertical="center"/>
    </xf>
    <xf numFmtId="166" fontId="0" fillId="0" borderId="45" xfId="1" applyNumberFormat="1" applyFont="1" applyBorder="1" applyAlignment="1">
      <alignment vertical="center"/>
    </xf>
    <xf numFmtId="9" fontId="0" fillId="0" borderId="45" xfId="2" applyFont="1" applyBorder="1" applyAlignment="1">
      <alignment horizontal="center"/>
    </xf>
    <xf numFmtId="1" fontId="0" fillId="0" borderId="0" xfId="2" applyNumberFormat="1" applyFont="1"/>
    <xf numFmtId="0" fontId="0" fillId="2" borderId="10" xfId="0" applyFill="1" applyBorder="1" applyAlignment="1">
      <alignment horizontal="center" wrapText="1"/>
    </xf>
    <xf numFmtId="0" fontId="0" fillId="2" borderId="7" xfId="0" applyFill="1" applyBorder="1" applyAlignment="1">
      <alignment horizontal="center" wrapText="1"/>
    </xf>
    <xf numFmtId="0" fontId="0" fillId="2" borderId="1" xfId="0" applyFill="1" applyBorder="1" applyAlignment="1">
      <alignment horizontal="center" wrapText="1"/>
    </xf>
    <xf numFmtId="0" fontId="0" fillId="2" borderId="22" xfId="0" applyFill="1" applyBorder="1" applyAlignment="1">
      <alignment horizontal="center" wrapText="1"/>
    </xf>
    <xf numFmtId="0" fontId="0" fillId="2" borderId="14" xfId="0" applyFill="1" applyBorder="1" applyAlignment="1">
      <alignment horizontal="center" wrapText="1"/>
    </xf>
    <xf numFmtId="0" fontId="0" fillId="2" borderId="32" xfId="0" applyFill="1" applyBorder="1" applyAlignment="1">
      <alignment horizontal="center" wrapText="1"/>
    </xf>
    <xf numFmtId="0" fontId="0" fillId="2" borderId="9" xfId="0" applyFill="1" applyBorder="1" applyAlignment="1">
      <alignment horizontal="center" wrapText="1"/>
    </xf>
    <xf numFmtId="0" fontId="0" fillId="2" borderId="33" xfId="0" applyFill="1" applyBorder="1" applyAlignment="1">
      <alignment horizontal="center" wrapText="1"/>
    </xf>
    <xf numFmtId="1" fontId="0" fillId="2" borderId="10" xfId="0" applyNumberFormat="1" applyFill="1" applyBorder="1" applyAlignment="1">
      <alignment horizontal="center" wrapText="1"/>
    </xf>
    <xf numFmtId="0" fontId="0" fillId="2" borderId="30" xfId="0" applyFill="1" applyBorder="1" applyAlignment="1">
      <alignment horizontal="center" wrapText="1"/>
    </xf>
    <xf numFmtId="0" fontId="2" fillId="0" borderId="0" xfId="0" applyFont="1" applyAlignment="1">
      <alignment horizontal="center"/>
    </xf>
    <xf numFmtId="0" fontId="0" fillId="2" borderId="38" xfId="0" applyFill="1" applyBorder="1" applyAlignment="1">
      <alignment horizontal="center" wrapText="1"/>
    </xf>
    <xf numFmtId="0" fontId="0" fillId="2" borderId="8" xfId="0" applyFill="1" applyBorder="1" applyAlignment="1">
      <alignment horizontal="center" wrapText="1"/>
    </xf>
    <xf numFmtId="0" fontId="0" fillId="2" borderId="11" xfId="0" applyFill="1" applyBorder="1" applyAlignment="1">
      <alignment horizontal="center" wrapText="1"/>
    </xf>
    <xf numFmtId="0" fontId="0" fillId="2" borderId="21" xfId="0" applyFill="1" applyBorder="1" applyAlignment="1">
      <alignment horizontal="center" wrapText="1"/>
    </xf>
    <xf numFmtId="0" fontId="3" fillId="0" borderId="0" xfId="0" applyFont="1"/>
    <xf numFmtId="9" fontId="0" fillId="0" borderId="10" xfId="0" applyNumberFormat="1" applyBorder="1" applyAlignment="1">
      <alignment horizontal="center" vertical="center"/>
    </xf>
    <xf numFmtId="0" fontId="0" fillId="0" borderId="22" xfId="0" applyBorder="1" applyAlignment="1">
      <alignment horizontal="center" vertical="center"/>
    </xf>
    <xf numFmtId="0" fontId="0" fillId="0" borderId="0" xfId="0" applyAlignment="1">
      <alignment vertical="center" wrapText="1"/>
    </xf>
    <xf numFmtId="1" fontId="0" fillId="0" borderId="1" xfId="0" applyNumberFormat="1" applyBorder="1" applyAlignment="1">
      <alignment horizontal="center" vertical="center"/>
    </xf>
    <xf numFmtId="1" fontId="0" fillId="0" borderId="21" xfId="0" applyNumberFormat="1" applyBorder="1" applyAlignment="1">
      <alignment horizontal="center" vertical="center"/>
    </xf>
    <xf numFmtId="0" fontId="0" fillId="0" borderId="19" xfId="0" applyBorder="1" applyAlignment="1">
      <alignment horizontal="center" vertical="center" wrapText="1"/>
    </xf>
    <xf numFmtId="0" fontId="0" fillId="6" borderId="12" xfId="0" applyFill="1" applyBorder="1" applyAlignment="1">
      <alignment horizontal="center" vertical="center"/>
    </xf>
    <xf numFmtId="0" fontId="0" fillId="6" borderId="14" xfId="0" applyFill="1" applyBorder="1" applyAlignment="1">
      <alignment horizontal="center" vertical="center"/>
    </xf>
    <xf numFmtId="0" fontId="0" fillId="7" borderId="8" xfId="0" applyFill="1" applyBorder="1" applyAlignment="1">
      <alignment horizontal="center" vertical="center"/>
    </xf>
    <xf numFmtId="0" fontId="0" fillId="7" borderId="10" xfId="0" applyFill="1" applyBorder="1" applyAlignment="1">
      <alignment horizontal="center" vertical="center"/>
    </xf>
    <xf numFmtId="0" fontId="0" fillId="4" borderId="8" xfId="0" applyFill="1" applyBorder="1" applyAlignment="1">
      <alignment horizontal="center" vertical="center"/>
    </xf>
    <xf numFmtId="0" fontId="0" fillId="4" borderId="10" xfId="0" applyFill="1" applyBorder="1" applyAlignment="1">
      <alignment horizontal="center" vertical="center"/>
    </xf>
    <xf numFmtId="0" fontId="0" fillId="8" borderId="8" xfId="0" applyFill="1" applyBorder="1" applyAlignment="1">
      <alignment horizontal="center" vertical="center"/>
    </xf>
    <xf numFmtId="0" fontId="0" fillId="8" borderId="10" xfId="0" applyFill="1" applyBorder="1" applyAlignment="1">
      <alignment horizontal="center" vertical="center"/>
    </xf>
    <xf numFmtId="0" fontId="0" fillId="9" borderId="11" xfId="0" applyFill="1" applyBorder="1" applyAlignment="1">
      <alignment horizontal="center" vertical="center"/>
    </xf>
    <xf numFmtId="0" fontId="0" fillId="9" borderId="22" xfId="0" applyFill="1" applyBorder="1" applyAlignment="1">
      <alignment horizontal="center" vertical="center"/>
    </xf>
    <xf numFmtId="0" fontId="0" fillId="0" borderId="45" xfId="0" applyBorder="1" applyAlignment="1">
      <alignment vertical="center" wrapText="1"/>
    </xf>
    <xf numFmtId="0" fontId="3" fillId="0" borderId="49" xfId="0" applyFont="1" applyBorder="1" applyAlignment="1">
      <alignment horizontal="center" vertical="center"/>
    </xf>
    <xf numFmtId="0" fontId="0" fillId="0" borderId="49" xfId="0" applyBorder="1" applyAlignment="1">
      <alignment horizontal="center" vertical="center"/>
    </xf>
    <xf numFmtId="1" fontId="0" fillId="0" borderId="49" xfId="0" applyNumberFormat="1" applyBorder="1" applyAlignment="1">
      <alignment horizontal="center" vertical="center"/>
    </xf>
    <xf numFmtId="0" fontId="3" fillId="5" borderId="49" xfId="0" applyFont="1" applyFill="1" applyBorder="1" applyAlignment="1">
      <alignment horizontal="center" vertical="center"/>
    </xf>
    <xf numFmtId="0" fontId="0" fillId="2" borderId="22" xfId="0" applyFill="1" applyBorder="1" applyAlignment="1">
      <alignment horizontal="center" vertical="center" wrapText="1"/>
    </xf>
    <xf numFmtId="0" fontId="7" fillId="6" borderId="8" xfId="0" applyFont="1" applyFill="1" applyBorder="1" applyAlignment="1">
      <alignment vertical="center" wrapText="1"/>
    </xf>
    <xf numFmtId="0" fontId="7" fillId="6" borderId="6" xfId="0" applyFont="1" applyFill="1" applyBorder="1" applyAlignment="1">
      <alignment vertical="center" wrapText="1"/>
    </xf>
    <xf numFmtId="0" fontId="7" fillId="6" borderId="11" xfId="0" applyFont="1" applyFill="1" applyBorder="1" applyAlignment="1">
      <alignment vertical="center" wrapText="1"/>
    </xf>
    <xf numFmtId="0" fontId="0" fillId="5" borderId="62" xfId="0" applyFill="1" applyBorder="1" applyAlignment="1">
      <alignment horizontal="center" wrapText="1"/>
    </xf>
    <xf numFmtId="0" fontId="7" fillId="6" borderId="36" xfId="0" applyFont="1" applyFill="1" applyBorder="1" applyAlignment="1">
      <alignment vertical="center" wrapText="1"/>
    </xf>
    <xf numFmtId="0" fontId="7" fillId="6" borderId="32" xfId="0" applyFont="1" applyFill="1" applyBorder="1" applyAlignment="1">
      <alignment vertical="center" wrapText="1"/>
    </xf>
    <xf numFmtId="0" fontId="7" fillId="6" borderId="65" xfId="0" applyFont="1" applyFill="1" applyBorder="1" applyAlignment="1">
      <alignment vertical="center" wrapText="1"/>
    </xf>
    <xf numFmtId="0" fontId="7" fillId="6" borderId="33" xfId="0" applyFont="1" applyFill="1" applyBorder="1" applyAlignment="1">
      <alignment vertical="center" wrapText="1"/>
    </xf>
    <xf numFmtId="166" fontId="0" fillId="2" borderId="25" xfId="1" applyNumberFormat="1" applyFont="1" applyFill="1" applyBorder="1" applyAlignment="1">
      <alignment horizontal="left" wrapText="1"/>
    </xf>
    <xf numFmtId="166" fontId="0" fillId="2" borderId="9" xfId="1" applyNumberFormat="1" applyFont="1" applyFill="1" applyBorder="1" applyAlignment="1">
      <alignment horizontal="center" wrapText="1"/>
    </xf>
    <xf numFmtId="166" fontId="0" fillId="2" borderId="61" xfId="1" applyNumberFormat="1" applyFont="1" applyFill="1" applyBorder="1" applyAlignment="1">
      <alignment horizontal="center" wrapText="1"/>
    </xf>
    <xf numFmtId="166" fontId="0" fillId="2" borderId="25" xfId="1" applyNumberFormat="1" applyFont="1" applyFill="1" applyBorder="1" applyAlignment="1">
      <alignment wrapText="1"/>
    </xf>
    <xf numFmtId="0" fontId="7" fillId="6" borderId="12"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0" fillId="0" borderId="21" xfId="0" applyBorder="1" applyAlignment="1">
      <alignment horizontal="center"/>
    </xf>
    <xf numFmtId="0" fontId="0" fillId="0" borderId="48" xfId="0" applyBorder="1" applyAlignment="1">
      <alignment horizontal="center" wrapText="1"/>
    </xf>
    <xf numFmtId="0" fontId="0" fillId="0" borderId="67" xfId="0" applyBorder="1" applyAlignment="1">
      <alignment horizontal="center"/>
    </xf>
    <xf numFmtId="0" fontId="0" fillId="0" borderId="30" xfId="0" applyBorder="1" applyAlignment="1">
      <alignment horizontal="center"/>
    </xf>
    <xf numFmtId="0" fontId="7" fillId="6" borderId="57" xfId="0" applyFont="1" applyFill="1" applyBorder="1" applyAlignment="1">
      <alignment vertical="center" wrapText="1"/>
    </xf>
    <xf numFmtId="0" fontId="7" fillId="6" borderId="66" xfId="0" applyFont="1" applyFill="1" applyBorder="1" applyAlignment="1">
      <alignment vertical="center" wrapText="1"/>
    </xf>
    <xf numFmtId="0" fontId="0" fillId="5" borderId="29" xfId="0" applyFill="1" applyBorder="1" applyAlignment="1">
      <alignment horizontal="center" wrapText="1"/>
    </xf>
    <xf numFmtId="0" fontId="7" fillId="6" borderId="58" xfId="0" applyFont="1" applyFill="1" applyBorder="1" applyAlignment="1">
      <alignment vertical="center" wrapText="1"/>
    </xf>
    <xf numFmtId="0" fontId="0" fillId="2" borderId="19" xfId="0" applyFill="1" applyBorder="1" applyAlignment="1">
      <alignment horizontal="center" wrapText="1"/>
    </xf>
    <xf numFmtId="0" fontId="0" fillId="0" borderId="28" xfId="0" applyBorder="1"/>
    <xf numFmtId="0" fontId="0" fillId="0" borderId="29" xfId="0" applyBorder="1" applyAlignment="1">
      <alignment horizontal="center"/>
    </xf>
    <xf numFmtId="0" fontId="7" fillId="6" borderId="8" xfId="0" applyFont="1" applyFill="1" applyBorder="1" applyAlignment="1">
      <alignment horizontal="center" vertical="center" wrapText="1"/>
    </xf>
    <xf numFmtId="0" fontId="7" fillId="6" borderId="24"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6" borderId="31" xfId="0" applyFont="1" applyFill="1" applyBorder="1" applyAlignment="1">
      <alignment horizontal="center" vertical="center" wrapText="1"/>
    </xf>
    <xf numFmtId="0" fontId="7" fillId="6" borderId="33" xfId="0" applyFont="1" applyFill="1" applyBorder="1" applyAlignment="1">
      <alignment horizontal="center" vertical="center" wrapText="1"/>
    </xf>
    <xf numFmtId="0" fontId="3" fillId="0" borderId="45" xfId="0" applyFont="1" applyBorder="1" applyAlignment="1">
      <alignment horizontal="center"/>
    </xf>
    <xf numFmtId="0" fontId="0" fillId="0" borderId="35" xfId="0" applyBorder="1" applyAlignment="1">
      <alignment horizontal="center"/>
    </xf>
    <xf numFmtId="0" fontId="0" fillId="2" borderId="1" xfId="0" applyFill="1" applyBorder="1"/>
    <xf numFmtId="0" fontId="7" fillId="6" borderId="23" xfId="0" applyFont="1" applyFill="1" applyBorder="1" applyAlignment="1">
      <alignment horizontal="center" vertical="center" wrapText="1"/>
    </xf>
    <xf numFmtId="0" fontId="0" fillId="0" borderId="54" xfId="0" applyBorder="1" applyAlignment="1">
      <alignment horizontal="center"/>
    </xf>
    <xf numFmtId="0" fontId="0" fillId="0" borderId="1" xfId="0" applyBorder="1"/>
    <xf numFmtId="0" fontId="7" fillId="6" borderId="18" xfId="0" applyFont="1" applyFill="1" applyBorder="1" applyAlignment="1">
      <alignment horizontal="center" vertical="center" wrapText="1"/>
    </xf>
    <xf numFmtId="0" fontId="0" fillId="2" borderId="3" xfId="0" applyFill="1" applyBorder="1" applyAlignment="1">
      <alignment horizontal="center" wrapText="1"/>
    </xf>
    <xf numFmtId="0" fontId="0" fillId="2" borderId="44" xfId="0" applyFill="1" applyBorder="1" applyAlignment="1">
      <alignment horizontal="center" wrapText="1"/>
    </xf>
    <xf numFmtId="0" fontId="0" fillId="0" borderId="49" xfId="0" applyBorder="1"/>
    <xf numFmtId="0" fontId="9" fillId="6" borderId="11" xfId="0" applyFont="1" applyFill="1" applyBorder="1" applyAlignment="1">
      <alignment horizontal="center" vertical="top" wrapText="1"/>
    </xf>
    <xf numFmtId="0" fontId="7" fillId="6" borderId="11" xfId="0" applyFont="1" applyFill="1" applyBorder="1" applyAlignment="1">
      <alignment horizontal="left" vertical="top" wrapText="1"/>
    </xf>
    <xf numFmtId="0" fontId="0" fillId="6" borderId="41" xfId="0" applyFill="1" applyBorder="1" applyAlignment="1">
      <alignment vertical="center"/>
    </xf>
    <xf numFmtId="0" fontId="0" fillId="6" borderId="4" xfId="0" applyFill="1" applyBorder="1" applyAlignment="1">
      <alignment vertical="center"/>
    </xf>
    <xf numFmtId="0" fontId="7" fillId="6" borderId="11" xfId="0" applyFont="1" applyFill="1" applyBorder="1" applyAlignment="1">
      <alignment vertical="top" wrapText="1"/>
    </xf>
    <xf numFmtId="0" fontId="9" fillId="6" borderId="37" xfId="0" applyFont="1" applyFill="1" applyBorder="1" applyAlignment="1">
      <alignment horizontal="center" vertical="top" wrapText="1"/>
    </xf>
    <xf numFmtId="0" fontId="7" fillId="6" borderId="35" xfId="0" applyFont="1" applyFill="1" applyBorder="1" applyAlignment="1">
      <alignment horizontal="left" vertical="top" wrapText="1"/>
    </xf>
    <xf numFmtId="0" fontId="9" fillId="6" borderId="45" xfId="0" applyFont="1" applyFill="1" applyBorder="1" applyAlignment="1">
      <alignment horizontal="center" vertical="top" wrapText="1"/>
    </xf>
    <xf numFmtId="0" fontId="9" fillId="6" borderId="27" xfId="0" applyFont="1" applyFill="1" applyBorder="1" applyAlignment="1">
      <alignment horizontal="center" vertical="top" wrapText="1"/>
    </xf>
    <xf numFmtId="0" fontId="9" fillId="6" borderId="12" xfId="0" applyFont="1" applyFill="1" applyBorder="1" applyAlignment="1">
      <alignment horizontal="center" vertical="top" wrapText="1"/>
    </xf>
    <xf numFmtId="0" fontId="9" fillId="6" borderId="13" xfId="0" applyFont="1" applyFill="1" applyBorder="1" applyAlignment="1">
      <alignment horizontal="center" vertical="top" wrapText="1"/>
    </xf>
    <xf numFmtId="0" fontId="9" fillId="6" borderId="14" xfId="0" applyFont="1" applyFill="1" applyBorder="1" applyAlignment="1">
      <alignment horizontal="center" vertical="top" wrapText="1"/>
    </xf>
    <xf numFmtId="0" fontId="11" fillId="10" borderId="4" xfId="0" applyFont="1" applyFill="1" applyBorder="1" applyAlignment="1">
      <alignment horizontal="center" vertical="center" wrapText="1"/>
    </xf>
    <xf numFmtId="0" fontId="12" fillId="10" borderId="4" xfId="0" applyFont="1" applyFill="1" applyBorder="1" applyAlignment="1">
      <alignment horizontal="center" vertical="center" wrapText="1"/>
    </xf>
    <xf numFmtId="0" fontId="11" fillId="10" borderId="4" xfId="0" applyFont="1" applyFill="1" applyBorder="1" applyAlignment="1">
      <alignment horizontal="center" vertical="center"/>
    </xf>
    <xf numFmtId="0" fontId="11" fillId="10" borderId="51" xfId="0" applyFont="1" applyFill="1" applyBorder="1" applyAlignment="1">
      <alignment horizontal="center" vertical="center"/>
    </xf>
    <xf numFmtId="0" fontId="11" fillId="10" borderId="42" xfId="0" applyFont="1" applyFill="1" applyBorder="1" applyAlignment="1">
      <alignment horizontal="center" vertical="center"/>
    </xf>
    <xf numFmtId="0" fontId="0" fillId="6" borderId="36" xfId="0" applyFill="1" applyBorder="1" applyAlignment="1">
      <alignment horizontal="center" vertical="center"/>
    </xf>
    <xf numFmtId="0" fontId="0" fillId="6" borderId="33" xfId="0" applyFill="1" applyBorder="1" applyAlignment="1">
      <alignment horizontal="center" vertical="center"/>
    </xf>
    <xf numFmtId="0" fontId="7" fillId="6" borderId="36" xfId="0" applyFont="1" applyFill="1" applyBorder="1" applyAlignment="1">
      <alignment vertical="center"/>
    </xf>
    <xf numFmtId="0" fontId="7" fillId="6" borderId="57" xfId="0" applyFont="1" applyFill="1" applyBorder="1" applyAlignment="1">
      <alignment vertical="center"/>
    </xf>
    <xf numFmtId="0" fontId="7" fillId="6" borderId="58" xfId="0" applyFont="1" applyFill="1" applyBorder="1" applyAlignment="1">
      <alignment vertical="center"/>
    </xf>
    <xf numFmtId="0" fontId="7" fillId="6" borderId="45" xfId="0" applyFont="1" applyFill="1" applyBorder="1" applyAlignment="1">
      <alignment vertical="center"/>
    </xf>
    <xf numFmtId="0" fontId="0" fillId="6" borderId="18" xfId="0" applyFill="1" applyBorder="1" applyAlignment="1">
      <alignment vertical="center"/>
    </xf>
    <xf numFmtId="0" fontId="7" fillId="6" borderId="15" xfId="0" applyFont="1" applyFill="1" applyBorder="1" applyAlignment="1">
      <alignment vertical="center" wrapText="1"/>
    </xf>
    <xf numFmtId="1" fontId="0" fillId="0" borderId="56" xfId="0" applyNumberFormat="1" applyBorder="1" applyAlignment="1">
      <alignment horizontal="center" vertical="center"/>
    </xf>
    <xf numFmtId="1" fontId="0" fillId="0" borderId="10" xfId="0" applyNumberFormat="1" applyBorder="1" applyAlignment="1">
      <alignment horizontal="center" vertical="center"/>
    </xf>
    <xf numFmtId="0" fontId="0" fillId="0" borderId="9" xfId="0" applyBorder="1" applyAlignment="1">
      <alignment horizontal="center" wrapText="1"/>
    </xf>
    <xf numFmtId="14" fontId="0" fillId="0" borderId="9" xfId="0" applyNumberFormat="1" applyBorder="1" applyAlignment="1">
      <alignment horizontal="center" wrapText="1"/>
    </xf>
    <xf numFmtId="10" fontId="0" fillId="0" borderId="9" xfId="0" applyNumberFormat="1" applyBorder="1" applyAlignment="1">
      <alignment horizontal="center" wrapText="1"/>
    </xf>
    <xf numFmtId="0" fontId="7" fillId="6" borderId="39" xfId="0" applyFont="1" applyFill="1" applyBorder="1" applyAlignment="1">
      <alignment horizontal="center" vertical="center" wrapText="1"/>
    </xf>
    <xf numFmtId="9" fontId="0" fillId="2" borderId="40" xfId="0" applyNumberFormat="1" applyFill="1" applyBorder="1" applyAlignment="1">
      <alignment horizontal="center" wrapText="1"/>
    </xf>
    <xf numFmtId="0" fontId="7" fillId="6" borderId="8" xfId="0" applyFont="1" applyFill="1" applyBorder="1" applyAlignment="1">
      <alignment horizontal="left" vertical="top" wrapText="1"/>
    </xf>
    <xf numFmtId="0" fontId="7" fillId="6" borderId="6" xfId="0" applyFont="1" applyFill="1" applyBorder="1" applyAlignment="1">
      <alignment horizontal="left" vertical="top" wrapText="1"/>
    </xf>
    <xf numFmtId="0" fontId="9" fillId="6" borderId="38" xfId="0" applyFont="1" applyFill="1" applyBorder="1" applyAlignment="1">
      <alignment horizontal="center" vertical="top" wrapText="1"/>
    </xf>
    <xf numFmtId="9" fontId="0" fillId="0" borderId="7" xfId="0" applyNumberFormat="1" applyBorder="1" applyAlignment="1">
      <alignment vertical="center"/>
    </xf>
    <xf numFmtId="164" fontId="0" fillId="0" borderId="10" xfId="1" applyNumberFormat="1" applyFont="1" applyBorder="1" applyAlignment="1">
      <alignment vertical="center"/>
    </xf>
    <xf numFmtId="1" fontId="0" fillId="0" borderId="10" xfId="0" applyNumberFormat="1" applyBorder="1" applyAlignment="1">
      <alignment vertical="center"/>
    </xf>
    <xf numFmtId="164" fontId="0" fillId="0" borderId="10" xfId="0" applyNumberFormat="1" applyBorder="1" applyAlignment="1">
      <alignment vertical="center"/>
    </xf>
    <xf numFmtId="0" fontId="9" fillId="6" borderId="26" xfId="0" applyFont="1" applyFill="1" applyBorder="1" applyAlignment="1">
      <alignment horizontal="center" vertical="top" wrapText="1"/>
    </xf>
    <xf numFmtId="164" fontId="0" fillId="0" borderId="9" xfId="1" applyNumberFormat="1" applyFont="1" applyBorder="1" applyAlignment="1">
      <alignment horizontal="right" vertical="center"/>
    </xf>
    <xf numFmtId="0" fontId="7" fillId="6" borderId="66" xfId="0" applyFont="1" applyFill="1" applyBorder="1" applyAlignment="1">
      <alignment horizontal="left" vertical="top" wrapText="1"/>
    </xf>
    <xf numFmtId="9" fontId="0" fillId="0" borderId="0" xfId="2" applyFont="1" applyAlignment="1">
      <alignment horizontal="right" vertical="center"/>
    </xf>
    <xf numFmtId="166" fontId="0" fillId="0" borderId="1" xfId="0" applyNumberFormat="1" applyBorder="1" applyAlignment="1">
      <alignment horizontal="right" vertical="center"/>
    </xf>
    <xf numFmtId="9" fontId="0" fillId="0" borderId="9" xfId="2" applyFont="1" applyFill="1" applyBorder="1" applyAlignment="1">
      <alignment horizontal="center" wrapText="1"/>
    </xf>
    <xf numFmtId="0" fontId="0" fillId="5" borderId="9" xfId="0" applyFill="1" applyBorder="1" applyAlignment="1">
      <alignment horizontal="center" wrapText="1"/>
    </xf>
    <xf numFmtId="0" fontId="0" fillId="2" borderId="9" xfId="0" applyFill="1" applyBorder="1" applyAlignment="1">
      <alignment horizontal="center" vertical="center" wrapText="1"/>
    </xf>
    <xf numFmtId="0" fontId="0" fillId="5" borderId="25" xfId="0" applyFill="1" applyBorder="1" applyAlignment="1">
      <alignment horizontal="center" wrapText="1"/>
    </xf>
    <xf numFmtId="0" fontId="7" fillId="6" borderId="36" xfId="0" applyFont="1" applyFill="1" applyBorder="1" applyAlignment="1">
      <alignment horizontal="center" vertical="center" wrapText="1"/>
    </xf>
    <xf numFmtId="37" fontId="0" fillId="0" borderId="10" xfId="0" applyNumberFormat="1" applyBorder="1" applyAlignment="1">
      <alignment vertical="center"/>
    </xf>
    <xf numFmtId="0" fontId="0" fillId="5" borderId="62" xfId="0" applyFill="1" applyBorder="1" applyAlignment="1">
      <alignment horizontal="center" vertical="center" wrapText="1"/>
    </xf>
    <xf numFmtId="14" fontId="0" fillId="2" borderId="9" xfId="0" applyNumberFormat="1" applyFill="1" applyBorder="1" applyAlignment="1">
      <alignment horizontal="center" vertical="center" wrapText="1"/>
    </xf>
    <xf numFmtId="0" fontId="0" fillId="2" borderId="25" xfId="0" applyFill="1" applyBorder="1" applyAlignment="1">
      <alignment horizontal="center" vertical="center" wrapText="1"/>
    </xf>
    <xf numFmtId="0" fontId="0" fillId="2" borderId="7" xfId="0" applyFill="1" applyBorder="1" applyAlignment="1">
      <alignment horizontal="center" vertical="center" wrapText="1"/>
    </xf>
    <xf numFmtId="0" fontId="0" fillId="5" borderId="10" xfId="0" applyFill="1" applyBorder="1" applyAlignment="1">
      <alignment horizontal="center" vertical="center" wrapText="1"/>
    </xf>
    <xf numFmtId="0" fontId="0" fillId="2" borderId="10" xfId="0"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5" borderId="34" xfId="0" applyFill="1" applyBorder="1" applyAlignment="1">
      <alignment horizontal="center" vertical="center" wrapText="1"/>
    </xf>
    <xf numFmtId="9" fontId="0" fillId="2" borderId="22" xfId="0" applyNumberFormat="1" applyFill="1" applyBorder="1" applyAlignment="1">
      <alignment horizontal="center" vertical="center" wrapText="1"/>
    </xf>
    <xf numFmtId="0" fontId="0" fillId="2" borderId="62" xfId="0" applyFill="1" applyBorder="1" applyAlignment="1">
      <alignment horizontal="center" vertical="center" wrapText="1"/>
    </xf>
    <xf numFmtId="0" fontId="0" fillId="2" borderId="61" xfId="0" applyFill="1" applyBorder="1" applyAlignment="1">
      <alignment horizontal="center" vertical="center" wrapText="1"/>
    </xf>
    <xf numFmtId="9" fontId="0" fillId="2" borderId="61" xfId="0" applyNumberFormat="1" applyFill="1" applyBorder="1" applyAlignment="1">
      <alignment horizontal="center" vertical="center" wrapText="1"/>
    </xf>
    <xf numFmtId="166" fontId="0" fillId="2" borderId="19" xfId="1" applyNumberFormat="1" applyFont="1" applyFill="1" applyBorder="1" applyAlignment="1">
      <alignment horizontal="center" vertical="center" wrapText="1"/>
    </xf>
    <xf numFmtId="10" fontId="0" fillId="2" borderId="9" xfId="0" applyNumberFormat="1" applyFill="1" applyBorder="1" applyAlignment="1">
      <alignment horizontal="center" vertical="center" wrapText="1"/>
    </xf>
    <xf numFmtId="10" fontId="0" fillId="2" borderId="62" xfId="0" applyNumberFormat="1" applyFill="1" applyBorder="1" applyAlignment="1">
      <alignment horizontal="center" vertical="center" wrapText="1"/>
    </xf>
    <xf numFmtId="1" fontId="0" fillId="0" borderId="9" xfId="0" applyNumberFormat="1" applyBorder="1" applyAlignment="1">
      <alignment horizontal="center" vertical="center" wrapText="1"/>
    </xf>
    <xf numFmtId="0" fontId="10" fillId="2" borderId="9" xfId="0" applyFont="1" applyFill="1" applyBorder="1" applyAlignment="1">
      <alignment horizontal="center" vertical="center" wrapText="1"/>
    </xf>
    <xf numFmtId="166" fontId="0" fillId="2" borderId="61" xfId="1" applyNumberFormat="1" applyFont="1" applyFill="1" applyBorder="1" applyAlignment="1">
      <alignment horizontal="left" vertical="center" wrapText="1"/>
    </xf>
    <xf numFmtId="166" fontId="0" fillId="2" borderId="25" xfId="1" applyNumberFormat="1" applyFont="1" applyFill="1" applyBorder="1" applyAlignment="1">
      <alignment vertical="center" wrapText="1"/>
    </xf>
    <xf numFmtId="166" fontId="0" fillId="2" borderId="25" xfId="1" applyNumberFormat="1" applyFont="1" applyFill="1" applyBorder="1" applyAlignment="1">
      <alignment horizontal="left" vertical="center" wrapText="1"/>
    </xf>
    <xf numFmtId="0" fontId="0" fillId="2" borderId="1"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36" xfId="0" applyFill="1" applyBorder="1" applyAlignment="1">
      <alignment horizontal="center" vertical="center" wrapText="1"/>
    </xf>
    <xf numFmtId="0" fontId="0" fillId="2" borderId="32" xfId="0" applyFill="1" applyBorder="1" applyAlignment="1">
      <alignment horizontal="center" vertical="center" wrapText="1"/>
    </xf>
    <xf numFmtId="0" fontId="0" fillId="5" borderId="66" xfId="0" applyFill="1" applyBorder="1" applyAlignment="1">
      <alignment horizontal="center" vertical="center" wrapText="1"/>
    </xf>
    <xf numFmtId="0" fontId="0" fillId="5" borderId="58" xfId="0" applyFill="1" applyBorder="1" applyAlignment="1">
      <alignment horizontal="center" vertical="center" wrapText="1"/>
    </xf>
    <xf numFmtId="0" fontId="0" fillId="2" borderId="9" xfId="0" quotePrefix="1" applyFill="1" applyBorder="1" applyAlignment="1">
      <alignment horizontal="center" vertical="center" wrapText="1"/>
    </xf>
    <xf numFmtId="0" fontId="0" fillId="5" borderId="29" xfId="0" applyFill="1" applyBorder="1" applyAlignment="1">
      <alignment horizontal="center" vertical="center" wrapText="1"/>
    </xf>
    <xf numFmtId="0" fontId="7" fillId="6" borderId="1" xfId="0" applyFont="1" applyFill="1" applyBorder="1" applyAlignment="1">
      <alignment vertical="center" wrapText="1"/>
    </xf>
    <xf numFmtId="9" fontId="0" fillId="12" borderId="10" xfId="0" applyNumberFormat="1" applyFill="1" applyBorder="1" applyAlignment="1">
      <alignment horizontal="center" wrapText="1"/>
    </xf>
    <xf numFmtId="0" fontId="9" fillId="6" borderId="1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6" borderId="10" xfId="0" applyFont="1" applyFill="1" applyBorder="1" applyAlignment="1">
      <alignment horizontal="center" vertical="center"/>
    </xf>
    <xf numFmtId="164" fontId="0" fillId="0" borderId="1" xfId="0" applyNumberFormat="1" applyBorder="1" applyAlignment="1">
      <alignment horizontal="right" vertical="center"/>
    </xf>
    <xf numFmtId="164" fontId="0" fillId="0" borderId="21" xfId="1" applyNumberFormat="1" applyFont="1" applyBorder="1" applyAlignment="1">
      <alignment horizontal="right" vertical="center"/>
    </xf>
    <xf numFmtId="0" fontId="0" fillId="0" borderId="0" xfId="0" applyAlignment="1">
      <alignment horizontal="right" vertical="center"/>
    </xf>
    <xf numFmtId="164" fontId="0" fillId="0" borderId="32" xfId="1" applyNumberFormat="1" applyFont="1" applyBorder="1" applyAlignment="1">
      <alignment horizontal="right" vertical="center"/>
    </xf>
    <xf numFmtId="164" fontId="0" fillId="0" borderId="32" xfId="1" applyNumberFormat="1" applyFont="1" applyFill="1" applyBorder="1" applyAlignment="1">
      <alignment horizontal="right" vertical="center"/>
    </xf>
    <xf numFmtId="164" fontId="0" fillId="0" borderId="33" xfId="1" applyNumberFormat="1" applyFont="1" applyBorder="1" applyAlignment="1">
      <alignment horizontal="right" vertical="center"/>
    </xf>
    <xf numFmtId="1" fontId="0" fillId="0" borderId="1" xfId="0" applyNumberFormat="1" applyBorder="1" applyAlignment="1">
      <alignment horizontal="right" vertical="center"/>
    </xf>
    <xf numFmtId="2" fontId="0" fillId="0" borderId="1" xfId="0" applyNumberFormat="1" applyBorder="1" applyAlignment="1">
      <alignment horizontal="right" vertical="center"/>
    </xf>
    <xf numFmtId="165" fontId="0" fillId="0" borderId="1" xfId="0" applyNumberFormat="1" applyBorder="1" applyAlignment="1">
      <alignment horizontal="right" vertical="center"/>
    </xf>
    <xf numFmtId="10" fontId="0" fillId="0" borderId="1" xfId="2" applyNumberFormat="1" applyFont="1" applyBorder="1" applyAlignment="1">
      <alignment horizontal="right" vertical="center"/>
    </xf>
    <xf numFmtId="0" fontId="0" fillId="0" borderId="1" xfId="0" applyBorder="1" applyAlignment="1">
      <alignment horizontal="right" vertical="center"/>
    </xf>
    <xf numFmtId="167" fontId="0" fillId="0" borderId="1" xfId="2" applyNumberFormat="1" applyFont="1" applyBorder="1" applyAlignment="1">
      <alignment horizontal="right" vertical="center"/>
    </xf>
    <xf numFmtId="2" fontId="0" fillId="0" borderId="9" xfId="0" applyNumberFormat="1" applyBorder="1" applyAlignment="1">
      <alignment horizontal="center" wrapText="1"/>
    </xf>
    <xf numFmtId="0" fontId="19" fillId="0" borderId="0" xfId="3" applyFont="1" applyFill="1" applyProtection="1">
      <protection locked="0"/>
    </xf>
    <xf numFmtId="0" fontId="0" fillId="2" borderId="0" xfId="0" applyFill="1"/>
    <xf numFmtId="0" fontId="20" fillId="0" borderId="0" xfId="0" applyFont="1" applyAlignment="1" applyProtection="1">
      <alignment vertical="center"/>
      <protection locked="0"/>
    </xf>
    <xf numFmtId="0" fontId="21" fillId="0" borderId="0" xfId="0" applyFont="1"/>
    <xf numFmtId="2" fontId="23" fillId="0" borderId="18" xfId="3" applyNumberFormat="1" applyFont="1" applyFill="1" applyBorder="1" applyAlignment="1" applyProtection="1">
      <alignment wrapText="1"/>
    </xf>
    <xf numFmtId="2" fontId="23" fillId="0" borderId="36" xfId="3" applyNumberFormat="1" applyFont="1" applyFill="1" applyBorder="1" applyAlignment="1" applyProtection="1">
      <alignment wrapText="1"/>
    </xf>
    <xf numFmtId="2" fontId="23" fillId="0" borderId="19" xfId="3" applyNumberFormat="1" applyFont="1" applyFill="1" applyBorder="1" applyAlignment="1" applyProtection="1">
      <alignment wrapText="1"/>
    </xf>
    <xf numFmtId="43" fontId="21" fillId="0" borderId="3" xfId="4" applyFont="1" applyFill="1" applyBorder="1" applyAlignment="1" applyProtection="1">
      <protection locked="0"/>
    </xf>
    <xf numFmtId="9" fontId="19" fillId="2" borderId="32" xfId="2" applyFont="1" applyFill="1" applyBorder="1" applyAlignment="1" applyProtection="1">
      <alignment horizontal="center"/>
    </xf>
    <xf numFmtId="43" fontId="19" fillId="0" borderId="9" xfId="4" applyFont="1" applyFill="1" applyBorder="1" applyAlignment="1" applyProtection="1">
      <protection locked="0"/>
    </xf>
    <xf numFmtId="43" fontId="20" fillId="2" borderId="3" xfId="4" applyFont="1" applyFill="1" applyBorder="1" applyAlignment="1" applyProtection="1"/>
    <xf numFmtId="9" fontId="20" fillId="2" borderId="32" xfId="2" applyFont="1" applyFill="1" applyBorder="1" applyAlignment="1" applyProtection="1">
      <alignment horizontal="center"/>
    </xf>
    <xf numFmtId="43" fontId="20" fillId="2" borderId="9" xfId="4" applyFont="1" applyFill="1" applyBorder="1" applyAlignment="1" applyProtection="1"/>
    <xf numFmtId="43" fontId="19" fillId="0" borderId="3" xfId="4" applyFont="1" applyFill="1" applyBorder="1" applyAlignment="1" applyProtection="1">
      <protection locked="0"/>
    </xf>
    <xf numFmtId="43" fontId="21" fillId="0" borderId="9" xfId="4" applyFont="1" applyFill="1" applyBorder="1" applyAlignment="1" applyProtection="1">
      <protection locked="0"/>
    </xf>
    <xf numFmtId="43" fontId="25" fillId="2" borderId="3" xfId="4" applyFont="1" applyFill="1" applyBorder="1" applyAlignment="1" applyProtection="1"/>
    <xf numFmtId="2" fontId="20" fillId="0" borderId="3" xfId="3" applyNumberFormat="1" applyFont="1" applyFill="1" applyBorder="1" applyAlignment="1" applyProtection="1">
      <alignment wrapText="1"/>
    </xf>
    <xf numFmtId="9" fontId="19" fillId="0" borderId="32" xfId="2" applyFont="1" applyFill="1" applyBorder="1" applyAlignment="1" applyProtection="1">
      <alignment horizontal="center"/>
    </xf>
    <xf numFmtId="2" fontId="20" fillId="0" borderId="9" xfId="3" applyNumberFormat="1" applyFont="1" applyFill="1" applyBorder="1" applyAlignment="1" applyProtection="1">
      <alignment wrapText="1"/>
    </xf>
    <xf numFmtId="0" fontId="20" fillId="0" borderId="0" xfId="3" applyFont="1" applyFill="1" applyProtection="1">
      <protection locked="0"/>
    </xf>
    <xf numFmtId="2" fontId="20" fillId="0" borderId="32" xfId="3" applyNumberFormat="1" applyFont="1" applyFill="1" applyBorder="1" applyAlignment="1" applyProtection="1">
      <alignment wrapText="1"/>
    </xf>
    <xf numFmtId="43" fontId="20" fillId="0" borderId="3" xfId="4" applyFont="1" applyFill="1" applyBorder="1" applyAlignment="1" applyProtection="1">
      <protection locked="0"/>
    </xf>
    <xf numFmtId="43" fontId="20" fillId="0" borderId="3" xfId="4" applyFont="1" applyFill="1" applyBorder="1" applyAlignment="1" applyProtection="1"/>
    <xf numFmtId="9" fontId="20" fillId="0" borderId="32" xfId="2" applyFont="1" applyFill="1" applyBorder="1" applyAlignment="1" applyProtection="1">
      <alignment horizontal="center"/>
    </xf>
    <xf numFmtId="43" fontId="20" fillId="0" borderId="9" xfId="4" applyFont="1" applyFill="1" applyBorder="1" applyAlignment="1" applyProtection="1"/>
    <xf numFmtId="43" fontId="20" fillId="2" borderId="44" xfId="4" applyFont="1" applyFill="1" applyBorder="1" applyAlignment="1" applyProtection="1"/>
    <xf numFmtId="9" fontId="20" fillId="2" borderId="33" xfId="2" applyFont="1" applyFill="1" applyBorder="1" applyAlignment="1" applyProtection="1">
      <alignment horizontal="center"/>
    </xf>
    <xf numFmtId="43" fontId="20" fillId="2" borderId="25" xfId="4" applyFont="1" applyFill="1" applyBorder="1" applyAlignment="1" applyProtection="1"/>
    <xf numFmtId="2" fontId="19" fillId="0" borderId="70" xfId="3" applyNumberFormat="1" applyFont="1" applyFill="1" applyBorder="1" applyAlignment="1" applyProtection="1">
      <alignment wrapText="1"/>
    </xf>
    <xf numFmtId="2" fontId="19" fillId="0" borderId="69" xfId="3" applyNumberFormat="1" applyFont="1" applyFill="1" applyBorder="1" applyAlignment="1" applyProtection="1">
      <alignment wrapText="1"/>
      <protection locked="0"/>
    </xf>
    <xf numFmtId="2" fontId="23" fillId="0" borderId="5" xfId="3" applyNumberFormat="1" applyFont="1" applyFill="1" applyBorder="1" applyAlignment="1" applyProtection="1">
      <alignment wrapText="1"/>
    </xf>
    <xf numFmtId="2" fontId="23" fillId="0" borderId="66" xfId="3" applyNumberFormat="1" applyFont="1" applyFill="1" applyBorder="1" applyAlignment="1" applyProtection="1">
      <alignment wrapText="1"/>
    </xf>
    <xf numFmtId="2" fontId="23" fillId="0" borderId="62" xfId="3" applyNumberFormat="1" applyFont="1" applyFill="1" applyBorder="1" applyAlignment="1" applyProtection="1">
      <alignment wrapText="1"/>
    </xf>
    <xf numFmtId="0" fontId="20" fillId="0" borderId="3" xfId="3" applyFont="1" applyFill="1" applyBorder="1" applyAlignment="1" applyProtection="1">
      <alignment wrapText="1"/>
      <protection locked="0"/>
    </xf>
    <xf numFmtId="0" fontId="20" fillId="0" borderId="32" xfId="3" applyFont="1" applyFill="1" applyBorder="1" applyAlignment="1" applyProtection="1">
      <alignment wrapText="1"/>
    </xf>
    <xf numFmtId="0" fontId="20" fillId="0" borderId="9" xfId="3" applyFont="1" applyFill="1" applyBorder="1" applyAlignment="1" applyProtection="1">
      <alignment wrapText="1"/>
      <protection locked="0"/>
    </xf>
    <xf numFmtId="0" fontId="20" fillId="0" borderId="3" xfId="3" applyFont="1" applyFill="1" applyBorder="1" applyAlignment="1" applyProtection="1">
      <alignment wrapText="1"/>
    </xf>
    <xf numFmtId="0" fontId="20" fillId="2" borderId="32" xfId="3" applyFont="1" applyFill="1" applyBorder="1" applyAlignment="1" applyProtection="1">
      <alignment wrapText="1"/>
    </xf>
    <xf numFmtId="0" fontId="20" fillId="0" borderId="9" xfId="3" applyFont="1" applyFill="1" applyBorder="1" applyAlignment="1" applyProtection="1">
      <alignment wrapText="1"/>
    </xf>
    <xf numFmtId="0" fontId="20" fillId="0" borderId="55" xfId="3" applyFont="1" applyFill="1" applyBorder="1" applyAlignment="1" applyProtection="1">
      <alignment wrapText="1"/>
    </xf>
    <xf numFmtId="43" fontId="20" fillId="0" borderId="0" xfId="4" applyFont="1" applyFill="1" applyBorder="1" applyAlignment="1" applyProtection="1"/>
    <xf numFmtId="9" fontId="20" fillId="0" borderId="0" xfId="2" applyFont="1" applyFill="1" applyBorder="1" applyAlignment="1" applyProtection="1">
      <alignment horizontal="center"/>
    </xf>
    <xf numFmtId="43" fontId="20" fillId="0" borderId="56" xfId="4" applyFont="1" applyFill="1" applyBorder="1" applyAlignment="1" applyProtection="1"/>
    <xf numFmtId="0" fontId="20" fillId="0" borderId="18" xfId="3" applyFont="1" applyFill="1" applyBorder="1" applyAlignment="1" applyProtection="1">
      <alignment wrapText="1"/>
    </xf>
    <xf numFmtId="0" fontId="20" fillId="0" borderId="36" xfId="3" applyFont="1" applyFill="1" applyBorder="1" applyAlignment="1" applyProtection="1">
      <alignment wrapText="1"/>
    </xf>
    <xf numFmtId="0" fontId="20" fillId="0" borderId="19" xfId="3" applyFont="1" applyFill="1" applyBorder="1" applyAlignment="1" applyProtection="1">
      <alignment wrapText="1"/>
    </xf>
    <xf numFmtId="43" fontId="20" fillId="0" borderId="9" xfId="4" applyFont="1" applyFill="1" applyBorder="1" applyAlignment="1" applyProtection="1">
      <protection locked="0"/>
    </xf>
    <xf numFmtId="43" fontId="19" fillId="0" borderId="3" xfId="4" applyFont="1" applyFill="1" applyBorder="1" applyAlignment="1" applyProtection="1"/>
    <xf numFmtId="43" fontId="19" fillId="0" borderId="9" xfId="4" applyFont="1" applyFill="1" applyBorder="1" applyAlignment="1" applyProtection="1"/>
    <xf numFmtId="0" fontId="19" fillId="0" borderId="0" xfId="3" applyFont="1" applyFill="1" applyBorder="1" applyProtection="1">
      <protection locked="0"/>
    </xf>
    <xf numFmtId="0" fontId="19" fillId="0" borderId="71" xfId="3" applyFont="1" applyFill="1" applyBorder="1" applyAlignment="1" applyProtection="1">
      <alignment wrapText="1"/>
    </xf>
    <xf numFmtId="43" fontId="19" fillId="0" borderId="16" xfId="3" applyNumberFormat="1" applyFont="1" applyFill="1" applyBorder="1" applyAlignment="1" applyProtection="1">
      <alignment wrapText="1"/>
    </xf>
    <xf numFmtId="0" fontId="19" fillId="0" borderId="16" xfId="3" applyFont="1" applyFill="1" applyBorder="1" applyAlignment="1" applyProtection="1">
      <alignment wrapText="1"/>
      <protection locked="0"/>
    </xf>
    <xf numFmtId="43" fontId="19" fillId="2" borderId="32" xfId="1" applyFont="1" applyFill="1" applyBorder="1" applyAlignment="1" applyProtection="1">
      <alignment horizontal="center"/>
    </xf>
    <xf numFmtId="43" fontId="23" fillId="0" borderId="0" xfId="1" applyFont="1" applyFill="1" applyBorder="1" applyAlignment="1" applyProtection="1">
      <alignment horizontal="center"/>
      <protection locked="0"/>
    </xf>
    <xf numFmtId="9" fontId="19" fillId="2" borderId="33" xfId="2" applyFont="1" applyFill="1" applyBorder="1" applyAlignment="1" applyProtection="1">
      <alignment horizontal="center"/>
    </xf>
    <xf numFmtId="43" fontId="23" fillId="0" borderId="59" xfId="1" applyFont="1" applyFill="1" applyBorder="1" applyAlignment="1" applyProtection="1">
      <alignment horizontal="center"/>
      <protection locked="0"/>
    </xf>
    <xf numFmtId="43" fontId="19" fillId="2" borderId="33" xfId="1" applyFont="1" applyFill="1" applyBorder="1" applyAlignment="1" applyProtection="1">
      <alignment horizontal="center"/>
    </xf>
    <xf numFmtId="43" fontId="19" fillId="0" borderId="0" xfId="4" applyFont="1" applyFill="1" applyBorder="1" applyAlignment="1" applyProtection="1">
      <alignment wrapText="1"/>
    </xf>
    <xf numFmtId="43" fontId="19" fillId="0" borderId="0" xfId="4" applyFont="1" applyFill="1" applyBorder="1" applyAlignment="1" applyProtection="1">
      <alignment wrapText="1"/>
      <protection locked="0"/>
    </xf>
    <xf numFmtId="43" fontId="20" fillId="0" borderId="0" xfId="4" applyFont="1" applyFill="1" applyBorder="1" applyAlignment="1" applyProtection="1">
      <alignment wrapText="1"/>
      <protection locked="0"/>
    </xf>
    <xf numFmtId="43" fontId="19" fillId="0" borderId="0" xfId="4" applyFont="1" applyFill="1" applyBorder="1" applyAlignment="1" applyProtection="1">
      <protection locked="0"/>
    </xf>
    <xf numFmtId="15" fontId="20" fillId="0" borderId="0" xfId="4" applyNumberFormat="1" applyFont="1" applyFill="1" applyBorder="1" applyAlignment="1" applyProtection="1">
      <protection locked="0"/>
    </xf>
    <xf numFmtId="43" fontId="19" fillId="2" borderId="2" xfId="4" applyFont="1" applyFill="1" applyBorder="1" applyAlignment="1" applyProtection="1">
      <alignment horizontal="center"/>
    </xf>
    <xf numFmtId="43" fontId="19" fillId="0" borderId="20" xfId="4" applyFont="1" applyFill="1" applyBorder="1" applyAlignment="1" applyProtection="1">
      <alignment horizontal="center"/>
      <protection locked="0"/>
    </xf>
    <xf numFmtId="43" fontId="19" fillId="2" borderId="9" xfId="4" applyFont="1" applyFill="1" applyBorder="1" applyAlignment="1" applyProtection="1">
      <alignment horizontal="center"/>
    </xf>
    <xf numFmtId="43" fontId="19" fillId="2" borderId="10" xfId="4" applyFont="1" applyFill="1" applyBorder="1" applyAlignment="1" applyProtection="1">
      <alignment horizontal="center"/>
    </xf>
    <xf numFmtId="43" fontId="20" fillId="2" borderId="2" xfId="4" applyFont="1" applyFill="1" applyBorder="1" applyAlignment="1" applyProtection="1">
      <alignment horizontal="center"/>
    </xf>
    <xf numFmtId="43" fontId="20" fillId="2" borderId="9" xfId="4" applyFont="1" applyFill="1" applyBorder="1" applyAlignment="1" applyProtection="1">
      <alignment horizontal="center"/>
    </xf>
    <xf numFmtId="43" fontId="20" fillId="2" borderId="10" xfId="4" applyFont="1" applyFill="1" applyBorder="1" applyAlignment="1" applyProtection="1">
      <alignment horizontal="center"/>
    </xf>
    <xf numFmtId="43" fontId="19" fillId="2" borderId="50" xfId="4" applyFont="1" applyFill="1" applyBorder="1" applyAlignment="1" applyProtection="1">
      <alignment horizontal="center"/>
    </xf>
    <xf numFmtId="43" fontId="19" fillId="2" borderId="61" xfId="4" applyFont="1" applyFill="1" applyBorder="1" applyAlignment="1" applyProtection="1">
      <alignment horizontal="center"/>
    </xf>
    <xf numFmtId="0" fontId="19" fillId="0" borderId="0" xfId="4" applyNumberFormat="1" applyFont="1" applyFill="1" applyBorder="1" applyAlignment="1" applyProtection="1">
      <protection locked="0"/>
    </xf>
    <xf numFmtId="43" fontId="20" fillId="2" borderId="60" xfId="4" applyFont="1" applyFill="1" applyBorder="1" applyAlignment="1" applyProtection="1">
      <alignment horizontal="center"/>
    </xf>
    <xf numFmtId="43" fontId="19" fillId="0" borderId="67" xfId="4" applyFont="1" applyFill="1" applyBorder="1" applyAlignment="1" applyProtection="1">
      <alignment horizontal="center"/>
      <protection locked="0"/>
    </xf>
    <xf numFmtId="43" fontId="20" fillId="2" borderId="25" xfId="4" applyFont="1" applyFill="1" applyBorder="1" applyAlignment="1" applyProtection="1">
      <alignment horizontal="center"/>
    </xf>
    <xf numFmtId="43" fontId="19" fillId="0" borderId="0" xfId="4" applyFont="1" applyFill="1" applyAlignment="1" applyProtection="1">
      <protection locked="0"/>
    </xf>
    <xf numFmtId="0" fontId="19" fillId="0" borderId="0" xfId="3" applyFont="1" applyFill="1" applyAlignment="1" applyProtection="1">
      <protection locked="0"/>
    </xf>
    <xf numFmtId="0" fontId="21" fillId="0" borderId="3" xfId="0" applyFont="1" applyBorder="1"/>
    <xf numFmtId="0" fontId="21" fillId="0" borderId="9" xfId="0" applyFont="1" applyBorder="1"/>
    <xf numFmtId="2" fontId="21" fillId="2" borderId="44" xfId="0" applyNumberFormat="1" applyFont="1" applyFill="1" applyBorder="1"/>
    <xf numFmtId="2" fontId="21" fillId="2" borderId="42" xfId="0" applyNumberFormat="1" applyFont="1" applyFill="1" applyBorder="1"/>
    <xf numFmtId="2" fontId="21" fillId="2" borderId="26" xfId="0" applyNumberFormat="1" applyFont="1" applyFill="1" applyBorder="1"/>
    <xf numFmtId="0" fontId="21" fillId="2" borderId="29" xfId="0" applyFont="1" applyFill="1" applyBorder="1"/>
    <xf numFmtId="0" fontId="24" fillId="6" borderId="32" xfId="0" applyFont="1" applyFill="1" applyBorder="1" applyAlignment="1">
      <alignment vertical="center" wrapText="1"/>
    </xf>
    <xf numFmtId="0" fontId="24" fillId="6" borderId="65" xfId="0" applyFont="1" applyFill="1" applyBorder="1" applyAlignment="1">
      <alignment vertical="center" wrapText="1"/>
    </xf>
    <xf numFmtId="0" fontId="24" fillId="6" borderId="57" xfId="0" applyFont="1" applyFill="1" applyBorder="1" applyAlignment="1">
      <alignment vertical="center" wrapText="1"/>
    </xf>
    <xf numFmtId="0" fontId="24" fillId="6" borderId="66" xfId="0" applyFont="1" applyFill="1" applyBorder="1" applyAlignment="1">
      <alignment vertical="center" wrapText="1"/>
    </xf>
    <xf numFmtId="0" fontId="24" fillId="6" borderId="33" xfId="0" applyFont="1" applyFill="1" applyBorder="1" applyAlignment="1">
      <alignment vertical="center" wrapText="1"/>
    </xf>
    <xf numFmtId="0" fontId="18" fillId="6" borderId="36" xfId="0" applyFont="1" applyFill="1" applyBorder="1" applyAlignment="1">
      <alignment horizontal="center" vertical="center" wrapText="1"/>
    </xf>
    <xf numFmtId="0" fontId="18" fillId="6" borderId="33" xfId="0" applyFont="1" applyFill="1" applyBorder="1" applyAlignment="1">
      <alignment vertical="center" wrapText="1"/>
    </xf>
    <xf numFmtId="0" fontId="18" fillId="6" borderId="32" xfId="0" applyFont="1" applyFill="1" applyBorder="1" applyAlignment="1">
      <alignment vertical="center" wrapText="1"/>
    </xf>
    <xf numFmtId="15" fontId="18" fillId="6" borderId="2" xfId="4" applyNumberFormat="1" applyFont="1" applyFill="1" applyBorder="1" applyAlignment="1" applyProtection="1">
      <alignment horizontal="center"/>
      <protection locked="0"/>
    </xf>
    <xf numFmtId="15" fontId="18" fillId="6" borderId="9" xfId="4" applyNumberFormat="1" applyFont="1" applyFill="1" applyBorder="1" applyAlignment="1" applyProtection="1">
      <alignment horizontal="center"/>
      <protection locked="0"/>
    </xf>
    <xf numFmtId="43" fontId="23" fillId="6" borderId="64" xfId="4" applyFont="1" applyFill="1" applyBorder="1" applyAlignment="1" applyProtection="1">
      <alignment horizontal="left"/>
    </xf>
    <xf numFmtId="0" fontId="24" fillId="6" borderId="54" xfId="3" applyFont="1" applyFill="1" applyBorder="1" applyAlignment="1" applyProtection="1">
      <alignment horizontal="left" wrapText="1"/>
    </xf>
    <xf numFmtId="0" fontId="24" fillId="6" borderId="35" xfId="3" applyFont="1" applyFill="1" applyBorder="1" applyAlignment="1" applyProtection="1">
      <alignment horizontal="left" wrapText="1"/>
    </xf>
    <xf numFmtId="15" fontId="18" fillId="6" borderId="36" xfId="4" applyNumberFormat="1" applyFont="1" applyFill="1" applyBorder="1" applyAlignment="1" applyProtection="1">
      <alignment horizontal="center"/>
      <protection locked="0"/>
    </xf>
    <xf numFmtId="43" fontId="23" fillId="6" borderId="0" xfId="4" applyFont="1" applyFill="1" applyBorder="1" applyAlignment="1" applyProtection="1">
      <alignment horizontal="center"/>
      <protection locked="0"/>
    </xf>
    <xf numFmtId="0" fontId="18" fillId="6" borderId="36" xfId="3" applyFont="1" applyFill="1" applyBorder="1" applyAlignment="1" applyProtection="1">
      <alignment wrapText="1"/>
    </xf>
    <xf numFmtId="0" fontId="18" fillId="6" borderId="32" xfId="3" applyFont="1" applyFill="1" applyBorder="1" applyAlignment="1" applyProtection="1">
      <alignment horizontal="left" wrapText="1"/>
    </xf>
    <xf numFmtId="0" fontId="24" fillId="6" borderId="32" xfId="3" applyFont="1" applyFill="1" applyBorder="1" applyAlignment="1" applyProtection="1">
      <alignment horizontal="left" wrapText="1"/>
    </xf>
    <xf numFmtId="0" fontId="18" fillId="6" borderId="32" xfId="3" applyFont="1" applyFill="1" applyBorder="1" applyAlignment="1" applyProtection="1">
      <alignment wrapText="1"/>
    </xf>
    <xf numFmtId="0" fontId="24" fillId="6" borderId="32" xfId="3" applyFont="1" applyFill="1" applyBorder="1" applyAlignment="1" applyProtection="1">
      <alignment horizontal="justify" wrapText="1"/>
    </xf>
    <xf numFmtId="0" fontId="18" fillId="6" borderId="65" xfId="3" applyFont="1" applyFill="1" applyBorder="1" applyAlignment="1" applyProtection="1">
      <alignment horizontal="justify" wrapText="1"/>
    </xf>
    <xf numFmtId="0" fontId="18" fillId="6" borderId="33" xfId="3" applyFont="1" applyFill="1" applyBorder="1" applyAlignment="1" applyProtection="1">
      <alignment wrapText="1"/>
    </xf>
    <xf numFmtId="2" fontId="18" fillId="6" borderId="66" xfId="3" applyNumberFormat="1" applyFont="1" applyFill="1" applyBorder="1" applyAlignment="1" applyProtection="1">
      <alignment wrapText="1"/>
    </xf>
    <xf numFmtId="0" fontId="24" fillId="6" borderId="32" xfId="3" applyFont="1" applyFill="1" applyBorder="1" applyAlignment="1" applyProtection="1">
      <alignment wrapText="1"/>
    </xf>
    <xf numFmtId="0" fontId="18" fillId="6" borderId="32" xfId="3" applyFont="1" applyFill="1" applyBorder="1" applyProtection="1"/>
    <xf numFmtId="0" fontId="18" fillId="6" borderId="59" xfId="3" applyFont="1" applyFill="1" applyBorder="1" applyAlignment="1" applyProtection="1">
      <alignment horizontal="center"/>
      <protection locked="0"/>
    </xf>
    <xf numFmtId="15" fontId="18" fillId="6" borderId="69" xfId="4" applyNumberFormat="1" applyFont="1" applyFill="1" applyBorder="1" applyAlignment="1" applyProtection="1">
      <alignment horizontal="center" vertical="center"/>
    </xf>
    <xf numFmtId="15" fontId="18" fillId="6" borderId="26" xfId="4" applyNumberFormat="1" applyFont="1" applyFill="1" applyBorder="1" applyAlignment="1" applyProtection="1">
      <alignment horizontal="center" vertical="center"/>
    </xf>
    <xf numFmtId="2" fontId="18" fillId="6" borderId="36" xfId="3" applyNumberFormat="1" applyFont="1" applyFill="1" applyBorder="1" applyAlignment="1" applyProtection="1">
      <alignment wrapText="1"/>
    </xf>
    <xf numFmtId="2" fontId="24" fillId="6" borderId="32" xfId="3" applyNumberFormat="1" applyFont="1" applyFill="1" applyBorder="1" applyAlignment="1" applyProtection="1">
      <alignment horizontal="justify" wrapText="1"/>
    </xf>
    <xf numFmtId="2" fontId="18" fillId="6" borderId="32" xfId="3" applyNumberFormat="1" applyFont="1" applyFill="1" applyBorder="1" applyAlignment="1" applyProtection="1">
      <alignment horizontal="justify" wrapText="1"/>
    </xf>
    <xf numFmtId="2" fontId="24" fillId="6" borderId="32" xfId="3" applyNumberFormat="1" applyFont="1" applyFill="1" applyBorder="1" applyAlignment="1" applyProtection="1">
      <alignment horizontal="left" wrapText="1"/>
    </xf>
    <xf numFmtId="2" fontId="18" fillId="6" borderId="32" xfId="3" applyNumberFormat="1" applyFont="1" applyFill="1" applyBorder="1" applyAlignment="1" applyProtection="1">
      <alignment wrapText="1"/>
    </xf>
    <xf numFmtId="2" fontId="18" fillId="6" borderId="33" xfId="3" applyNumberFormat="1" applyFont="1" applyFill="1" applyBorder="1" applyAlignment="1" applyProtection="1">
      <alignment horizontal="justify" wrapText="1"/>
    </xf>
    <xf numFmtId="15" fontId="18" fillId="6" borderId="69" xfId="4" applyNumberFormat="1" applyFont="1" applyFill="1" applyBorder="1" applyAlignment="1" applyProtection="1">
      <alignment horizontal="center"/>
    </xf>
    <xf numFmtId="168" fontId="22" fillId="6" borderId="68" xfId="6" applyNumberFormat="1" applyFont="1" applyFill="1" applyBorder="1" applyAlignment="1" applyProtection="1">
      <alignment horizontal="center" vertical="center"/>
      <protection hidden="1"/>
    </xf>
    <xf numFmtId="0" fontId="18" fillId="6" borderId="59" xfId="3" applyFont="1" applyFill="1" applyBorder="1" applyAlignment="1" applyProtection="1">
      <protection locked="0"/>
    </xf>
    <xf numFmtId="0" fontId="18" fillId="6" borderId="59" xfId="3" applyFont="1" applyFill="1" applyBorder="1" applyAlignment="1" applyProtection="1">
      <alignment horizontal="right"/>
      <protection locked="0"/>
    </xf>
    <xf numFmtId="1" fontId="12" fillId="10" borderId="4" xfId="0" applyNumberFormat="1" applyFont="1" applyFill="1" applyBorder="1" applyAlignment="1">
      <alignment horizontal="center" vertical="center" wrapText="1"/>
    </xf>
    <xf numFmtId="1" fontId="11" fillId="10" borderId="4" xfId="0" applyNumberFormat="1" applyFont="1" applyFill="1" applyBorder="1" applyAlignment="1">
      <alignment horizontal="center" vertical="center" wrapText="1"/>
    </xf>
    <xf numFmtId="1" fontId="0" fillId="0" borderId="19" xfId="0" applyNumberFormat="1" applyBorder="1" applyAlignment="1">
      <alignment horizontal="center" vertical="center"/>
    </xf>
    <xf numFmtId="1" fontId="0" fillId="0" borderId="25" xfId="0" applyNumberFormat="1" applyBorder="1" applyAlignment="1">
      <alignment horizontal="center" vertical="center"/>
    </xf>
    <xf numFmtId="0" fontId="3" fillId="0" borderId="24" xfId="0" applyFont="1" applyBorder="1" applyAlignment="1">
      <alignment horizontal="center" vertical="center" wrapText="1"/>
    </xf>
    <xf numFmtId="1" fontId="0" fillId="0" borderId="62" xfId="0" applyNumberFormat="1" applyBorder="1" applyAlignment="1">
      <alignment horizontal="center" vertical="center" wrapText="1"/>
    </xf>
    <xf numFmtId="0" fontId="14" fillId="6" borderId="1" xfId="0" applyFont="1" applyFill="1" applyBorder="1" applyAlignment="1">
      <alignment horizontal="center" vertical="center" wrapText="1"/>
    </xf>
    <xf numFmtId="0" fontId="0" fillId="0" borderId="1" xfId="0"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9" fontId="17" fillId="0" borderId="1" xfId="0" quotePrefix="1" applyNumberFormat="1" applyFont="1" applyBorder="1" applyAlignment="1">
      <alignment horizontal="center" vertical="center" wrapText="1"/>
    </xf>
    <xf numFmtId="164" fontId="0" fillId="0" borderId="10" xfId="0" applyNumberFormat="1" applyBorder="1" applyAlignment="1">
      <alignment horizontal="right" vertical="center"/>
    </xf>
    <xf numFmtId="164" fontId="0" fillId="0" borderId="10" xfId="1" applyNumberFormat="1" applyFont="1" applyFill="1" applyBorder="1" applyAlignment="1">
      <alignment horizontal="right" vertical="center"/>
    </xf>
    <xf numFmtId="164" fontId="0" fillId="0" borderId="9" xfId="1" applyNumberFormat="1" applyFont="1" applyFill="1" applyBorder="1" applyAlignment="1">
      <alignment horizontal="right" vertical="center"/>
    </xf>
    <xf numFmtId="164" fontId="0" fillId="0" borderId="25" xfId="1" applyNumberFormat="1" applyFont="1" applyFill="1" applyBorder="1" applyAlignment="1">
      <alignment horizontal="right" vertical="center"/>
    </xf>
    <xf numFmtId="9" fontId="1" fillId="0" borderId="1" xfId="2" applyFont="1" applyFill="1" applyBorder="1" applyAlignment="1">
      <alignment horizontal="right" vertical="center"/>
    </xf>
    <xf numFmtId="10" fontId="0" fillId="0" borderId="1" xfId="2" applyNumberFormat="1" applyFont="1" applyFill="1" applyBorder="1" applyAlignment="1">
      <alignment horizontal="right" vertical="center"/>
    </xf>
    <xf numFmtId="167" fontId="0" fillId="0" borderId="1" xfId="2" applyNumberFormat="1" applyFont="1" applyFill="1" applyBorder="1" applyAlignment="1">
      <alignment horizontal="right" vertical="center"/>
    </xf>
    <xf numFmtId="9" fontId="0" fillId="0" borderId="0" xfId="0" applyNumberFormat="1" applyAlignment="1">
      <alignment horizontal="center" vertical="center"/>
    </xf>
    <xf numFmtId="0" fontId="0" fillId="5" borderId="22" xfId="0" applyFill="1" applyBorder="1" applyAlignment="1">
      <alignment horizontal="center" vertical="center" wrapText="1"/>
    </xf>
    <xf numFmtId="0" fontId="21" fillId="0" borderId="0" xfId="0" applyFont="1" applyAlignment="1" applyProtection="1">
      <alignment wrapText="1"/>
      <protection locked="0"/>
    </xf>
    <xf numFmtId="0" fontId="21" fillId="0" borderId="0" xfId="0" applyFont="1" applyProtection="1">
      <protection locked="0"/>
    </xf>
    <xf numFmtId="0" fontId="20" fillId="0" borderId="59" xfId="3" applyFont="1" applyFill="1" applyBorder="1" applyAlignment="1" applyProtection="1">
      <alignment horizontal="right"/>
      <protection locked="0"/>
    </xf>
    <xf numFmtId="2" fontId="25" fillId="2" borderId="45" xfId="0" applyNumberFormat="1" applyFont="1" applyFill="1" applyBorder="1" applyAlignment="1" applyProtection="1">
      <alignment horizontal="center"/>
      <protection locked="0"/>
    </xf>
    <xf numFmtId="0" fontId="18" fillId="0" borderId="0" xfId="0" applyFont="1" applyAlignment="1" applyProtection="1">
      <alignment vertical="center"/>
      <protection locked="0"/>
    </xf>
    <xf numFmtId="2" fontId="21" fillId="0" borderId="45" xfId="0" applyNumberFormat="1" applyFont="1" applyBorder="1" applyAlignment="1" applyProtection="1">
      <alignment horizontal="left"/>
      <protection locked="0"/>
    </xf>
    <xf numFmtId="17" fontId="25" fillId="0" borderId="68" xfId="0" applyNumberFormat="1" applyFont="1" applyBorder="1" applyAlignment="1" applyProtection="1">
      <alignment horizontal="center" vertical="center"/>
      <protection locked="0"/>
    </xf>
    <xf numFmtId="0" fontId="18" fillId="14" borderId="26" xfId="0" applyFont="1" applyFill="1" applyBorder="1" applyAlignment="1" applyProtection="1">
      <alignment vertical="center"/>
      <protection locked="0"/>
    </xf>
    <xf numFmtId="0" fontId="21" fillId="0" borderId="13" xfId="0" applyFont="1" applyBorder="1" applyAlignment="1" applyProtection="1">
      <alignment horizontal="center" vertical="center"/>
      <protection locked="0"/>
    </xf>
    <xf numFmtId="0" fontId="21" fillId="0" borderId="41" xfId="0" applyFont="1" applyBorder="1" applyAlignment="1" applyProtection="1">
      <alignment horizontal="center" vertical="center"/>
      <protection locked="0"/>
    </xf>
    <xf numFmtId="2" fontId="25" fillId="2" borderId="19" xfId="0" applyNumberFormat="1" applyFont="1" applyFill="1" applyBorder="1" applyAlignment="1" applyProtection="1">
      <alignment horizontal="center" vertical="center"/>
      <protection locked="0"/>
    </xf>
    <xf numFmtId="0" fontId="21" fillId="0" borderId="0" xfId="0" applyFont="1" applyAlignment="1" applyProtection="1">
      <alignment horizontal="center" vertical="center"/>
      <protection locked="0"/>
    </xf>
    <xf numFmtId="0" fontId="21" fillId="0" borderId="20" xfId="0" applyFont="1" applyBorder="1" applyAlignment="1" applyProtection="1">
      <alignment horizontal="center" vertical="center"/>
      <protection locked="0"/>
    </xf>
    <xf numFmtId="0" fontId="21" fillId="0" borderId="39" xfId="0" applyFont="1" applyBorder="1" applyAlignment="1" applyProtection="1">
      <alignment horizontal="center" vertical="center"/>
      <protection locked="0"/>
    </xf>
    <xf numFmtId="2" fontId="25" fillId="2" borderId="56" xfId="0" applyNumberFormat="1" applyFont="1" applyFill="1" applyBorder="1" applyAlignment="1" applyProtection="1">
      <alignment horizontal="center" vertical="center"/>
      <protection locked="0"/>
    </xf>
    <xf numFmtId="0" fontId="21" fillId="0" borderId="12" xfId="0" applyFont="1" applyBorder="1" applyAlignment="1" applyProtection="1">
      <alignment horizontal="center" vertical="center"/>
      <protection locked="0"/>
    </xf>
    <xf numFmtId="0" fontId="21" fillId="0" borderId="36" xfId="0" applyFont="1" applyBorder="1" applyAlignment="1" applyProtection="1">
      <alignment horizontal="center" vertical="center"/>
      <protection locked="0"/>
    </xf>
    <xf numFmtId="2" fontId="21" fillId="2" borderId="68" xfId="0" applyNumberFormat="1" applyFont="1" applyFill="1" applyBorder="1" applyAlignment="1" applyProtection="1">
      <alignment horizontal="center" vertical="center"/>
      <protection locked="0"/>
    </xf>
    <xf numFmtId="2" fontId="21" fillId="2" borderId="73" xfId="0" applyNumberFormat="1" applyFont="1" applyFill="1" applyBorder="1" applyAlignment="1" applyProtection="1">
      <alignment horizontal="center" vertical="center"/>
      <protection locked="0"/>
    </xf>
    <xf numFmtId="2" fontId="25" fillId="2" borderId="26" xfId="0" applyNumberFormat="1" applyFont="1" applyFill="1" applyBorder="1" applyAlignment="1" applyProtection="1">
      <alignment horizontal="center" vertical="center"/>
      <protection locked="0"/>
    </xf>
    <xf numFmtId="0" fontId="25" fillId="0" borderId="0" xfId="0" applyFont="1" applyAlignment="1" applyProtection="1">
      <alignment horizontal="center" vertical="center"/>
      <protection locked="0"/>
    </xf>
    <xf numFmtId="0" fontId="21" fillId="2" borderId="0" xfId="0" applyFont="1" applyFill="1" applyAlignment="1" applyProtection="1">
      <alignment horizontal="center" vertical="center" wrapText="1"/>
      <protection locked="0"/>
    </xf>
    <xf numFmtId="0" fontId="21" fillId="0" borderId="37" xfId="0" applyFont="1" applyBorder="1" applyAlignment="1" applyProtection="1">
      <alignment horizontal="center" vertical="center"/>
      <protection locked="0"/>
    </xf>
    <xf numFmtId="0" fontId="21" fillId="0" borderId="45" xfId="0" applyFont="1" applyBorder="1" applyAlignment="1" applyProtection="1">
      <alignment horizontal="center" vertical="center"/>
      <protection locked="0"/>
    </xf>
    <xf numFmtId="2" fontId="20" fillId="2" borderId="26" xfId="0" applyNumberFormat="1" applyFont="1" applyFill="1" applyBorder="1" applyAlignment="1" applyProtection="1">
      <alignment horizontal="center" vertical="center"/>
      <protection locked="0"/>
    </xf>
    <xf numFmtId="17" fontId="25" fillId="0" borderId="0" xfId="0" applyNumberFormat="1" applyFont="1" applyAlignment="1" applyProtection="1">
      <alignment horizontal="center" vertical="center"/>
      <protection locked="0"/>
    </xf>
    <xf numFmtId="2" fontId="25" fillId="0" borderId="0" xfId="0" applyNumberFormat="1" applyFont="1" applyAlignment="1" applyProtection="1">
      <alignment horizontal="center" vertical="center"/>
      <protection locked="0"/>
    </xf>
    <xf numFmtId="0" fontId="18" fillId="6" borderId="45" xfId="0" applyFont="1" applyFill="1" applyBorder="1" applyProtection="1">
      <protection locked="0"/>
    </xf>
    <xf numFmtId="0" fontId="18" fillId="6" borderId="45" xfId="0" applyFont="1" applyFill="1" applyBorder="1" applyAlignment="1" applyProtection="1">
      <alignment horizontal="center" vertical="center" wrapText="1"/>
      <protection locked="0"/>
    </xf>
    <xf numFmtId="17" fontId="18" fillId="6" borderId="31" xfId="0" applyNumberFormat="1" applyFont="1" applyFill="1" applyBorder="1" applyAlignment="1">
      <alignment horizontal="center" vertical="center"/>
    </xf>
    <xf numFmtId="0" fontId="18" fillId="6" borderId="37" xfId="0" applyFont="1" applyFill="1" applyBorder="1" applyAlignment="1" applyProtection="1">
      <alignment horizontal="center" vertical="center"/>
      <protection locked="0"/>
    </xf>
    <xf numFmtId="0" fontId="18" fillId="6" borderId="12" xfId="0" applyFont="1" applyFill="1" applyBorder="1" applyAlignment="1" applyProtection="1">
      <alignment horizontal="center" vertical="center"/>
      <protection locked="0"/>
    </xf>
    <xf numFmtId="0" fontId="18" fillId="6" borderId="72" xfId="0" applyFont="1" applyFill="1" applyBorder="1" applyAlignment="1" applyProtection="1">
      <alignment horizontal="center" vertical="center"/>
      <protection locked="0"/>
    </xf>
    <xf numFmtId="17" fontId="18" fillId="6" borderId="68" xfId="0" applyNumberFormat="1" applyFont="1" applyFill="1" applyBorder="1" applyAlignment="1">
      <alignment horizontal="center" vertical="center"/>
    </xf>
    <xf numFmtId="0" fontId="18" fillId="6" borderId="45" xfId="0" applyFont="1" applyFill="1" applyBorder="1" applyAlignment="1" applyProtection="1">
      <alignment horizontal="center" vertical="center"/>
      <protection locked="0"/>
    </xf>
    <xf numFmtId="0" fontId="18" fillId="6" borderId="58" xfId="0" applyFont="1" applyFill="1" applyBorder="1" applyAlignment="1" applyProtection="1">
      <alignment horizontal="center" vertical="center"/>
      <protection locked="0"/>
    </xf>
    <xf numFmtId="0" fontId="25" fillId="2" borderId="29" xfId="0" applyFont="1" applyFill="1" applyBorder="1" applyAlignment="1" applyProtection="1">
      <alignment horizontal="center" vertical="center"/>
      <protection locked="0"/>
    </xf>
    <xf numFmtId="0" fontId="25" fillId="0" borderId="0" xfId="0" applyFont="1"/>
    <xf numFmtId="2" fontId="19" fillId="2" borderId="9" xfId="3" applyNumberFormat="1" applyFont="1" applyFill="1" applyBorder="1" applyAlignment="1" applyProtection="1">
      <alignment horizontal="center" wrapText="1"/>
    </xf>
    <xf numFmtId="2" fontId="19" fillId="2" borderId="25" xfId="3" applyNumberFormat="1" applyFont="1" applyFill="1" applyBorder="1" applyAlignment="1" applyProtection="1">
      <alignment horizontal="center" wrapText="1"/>
    </xf>
    <xf numFmtId="2" fontId="24" fillId="6" borderId="36" xfId="3" applyNumberFormat="1" applyFont="1" applyFill="1" applyBorder="1" applyAlignment="1" applyProtection="1">
      <alignment horizontal="justify" wrapText="1"/>
    </xf>
    <xf numFmtId="2" fontId="24" fillId="6" borderId="33" xfId="3" applyNumberFormat="1" applyFont="1" applyFill="1" applyBorder="1" applyAlignment="1" applyProtection="1">
      <alignment horizontal="justify" wrapText="1"/>
    </xf>
    <xf numFmtId="0" fontId="18" fillId="6" borderId="36" xfId="0" applyFont="1" applyFill="1" applyBorder="1" applyAlignment="1">
      <alignment horizontal="center"/>
    </xf>
    <xf numFmtId="0" fontId="18" fillId="6" borderId="32" xfId="0" applyFont="1" applyFill="1" applyBorder="1" applyAlignment="1">
      <alignment horizontal="center"/>
    </xf>
    <xf numFmtId="0" fontId="18" fillId="6" borderId="33" xfId="0" applyFont="1" applyFill="1" applyBorder="1" applyAlignment="1">
      <alignment horizontal="center"/>
    </xf>
    <xf numFmtId="2" fontId="19" fillId="2" borderId="19" xfId="3" applyNumberFormat="1" applyFont="1" applyFill="1" applyBorder="1" applyAlignment="1" applyProtection="1">
      <alignment horizontal="center" wrapText="1"/>
    </xf>
    <xf numFmtId="9" fontId="19" fillId="0" borderId="25" xfId="2" applyFont="1" applyFill="1" applyBorder="1" applyAlignment="1" applyProtection="1">
      <alignment horizontal="center" wrapText="1"/>
    </xf>
    <xf numFmtId="0" fontId="3" fillId="0" borderId="59" xfId="0" applyFont="1" applyBorder="1" applyAlignment="1">
      <alignment vertical="center" wrapText="1"/>
    </xf>
    <xf numFmtId="0" fontId="13" fillId="0" borderId="17" xfId="0" applyFont="1" applyBorder="1" applyAlignment="1">
      <alignment horizontal="center" vertical="center" wrapText="1"/>
    </xf>
    <xf numFmtId="0" fontId="13" fillId="0" borderId="4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18" xfId="0" applyFont="1" applyBorder="1" applyAlignment="1">
      <alignment horizontal="center" vertical="center"/>
    </xf>
    <xf numFmtId="9" fontId="0" fillId="2" borderId="9" xfId="0" applyNumberFormat="1" applyFill="1" applyBorder="1" applyAlignment="1">
      <alignment horizontal="center" vertical="center" wrapText="1"/>
    </xf>
    <xf numFmtId="164" fontId="0" fillId="0" borderId="22" xfId="2" applyNumberFormat="1" applyFont="1" applyBorder="1" applyAlignment="1">
      <alignment vertical="center"/>
    </xf>
    <xf numFmtId="9" fontId="0" fillId="0" borderId="56" xfId="0" applyNumberFormat="1" applyBorder="1" applyAlignment="1">
      <alignment horizontal="right" vertical="center"/>
    </xf>
    <xf numFmtId="164" fontId="0" fillId="0" borderId="0" xfId="0" applyNumberFormat="1" applyAlignment="1">
      <alignment horizontal="center" vertical="center"/>
    </xf>
    <xf numFmtId="0" fontId="3" fillId="0" borderId="0" xfId="0" applyFont="1" applyAlignment="1">
      <alignment vertical="center" wrapText="1"/>
    </xf>
    <xf numFmtId="0" fontId="26" fillId="2" borderId="1" xfId="0" applyFont="1" applyFill="1" applyBorder="1" applyAlignment="1">
      <alignment horizontal="center" vertical="center" wrapText="1"/>
    </xf>
    <xf numFmtId="0" fontId="7" fillId="6" borderId="65" xfId="0" applyFont="1" applyFill="1" applyBorder="1" applyAlignment="1">
      <alignment horizontal="center" vertical="center" wrapText="1"/>
    </xf>
    <xf numFmtId="0" fontId="0" fillId="2" borderId="6" xfId="0" applyFill="1" applyBorder="1" applyAlignment="1">
      <alignment horizontal="center" wrapText="1"/>
    </xf>
    <xf numFmtId="14" fontId="0" fillId="2" borderId="14" xfId="0" applyNumberFormat="1" applyFill="1" applyBorder="1" applyAlignment="1">
      <alignment horizontal="center"/>
    </xf>
    <xf numFmtId="0" fontId="0" fillId="2" borderId="22" xfId="0" applyFill="1" applyBorder="1" applyAlignment="1">
      <alignment horizontal="center"/>
    </xf>
    <xf numFmtId="14" fontId="0" fillId="0" borderId="62" xfId="0" applyNumberFormat="1" applyBorder="1" applyAlignment="1">
      <alignment horizontal="center" wrapText="1"/>
    </xf>
    <xf numFmtId="0" fontId="7" fillId="0" borderId="1" xfId="0" applyFont="1" applyBorder="1" applyAlignment="1">
      <alignment vertical="center"/>
    </xf>
    <xf numFmtId="9" fontId="1" fillId="0" borderId="1" xfId="2" applyFont="1" applyBorder="1" applyAlignment="1">
      <alignment vertical="center"/>
    </xf>
    <xf numFmtId="0" fontId="7" fillId="6" borderId="1" xfId="0" applyFont="1" applyFill="1" applyBorder="1" applyAlignment="1">
      <alignment horizontal="left" vertical="top" wrapText="1"/>
    </xf>
    <xf numFmtId="0" fontId="7" fillId="6" borderId="0" xfId="0" applyFont="1" applyFill="1" applyAlignment="1">
      <alignment vertical="center" wrapText="1"/>
    </xf>
    <xf numFmtId="166" fontId="0" fillId="0" borderId="9" xfId="0" applyNumberFormat="1" applyBorder="1" applyAlignment="1">
      <alignment horizontal="center" wrapText="1"/>
    </xf>
    <xf numFmtId="9" fontId="0" fillId="0" borderId="9" xfId="2" applyFont="1" applyFill="1" applyBorder="1" applyAlignment="1">
      <alignment horizontal="center" vertical="center" wrapText="1"/>
    </xf>
    <xf numFmtId="9" fontId="0" fillId="0" borderId="0" xfId="2" applyFont="1" applyFill="1" applyBorder="1" applyAlignment="1">
      <alignment horizontal="center" vertical="center" wrapText="1"/>
    </xf>
    <xf numFmtId="0" fontId="3" fillId="0" borderId="23" xfId="0" applyFont="1" applyBorder="1" applyAlignment="1">
      <alignment horizontal="center" wrapText="1"/>
    </xf>
    <xf numFmtId="0" fontId="3" fillId="0" borderId="19" xfId="0" applyFont="1" applyBorder="1" applyAlignment="1">
      <alignment horizontal="center" wrapText="1"/>
    </xf>
    <xf numFmtId="0" fontId="3" fillId="0" borderId="27" xfId="0" applyFont="1" applyBorder="1" applyAlignment="1">
      <alignment horizontal="center" wrapText="1"/>
    </xf>
    <xf numFmtId="0" fontId="3" fillId="0" borderId="26" xfId="0" applyFont="1" applyBorder="1" applyAlignment="1">
      <alignment horizontal="center" wrapText="1"/>
    </xf>
    <xf numFmtId="0" fontId="3" fillId="0" borderId="47" xfId="0" applyFont="1" applyBorder="1" applyAlignment="1">
      <alignment horizontal="center" vertical="center" wrapText="1"/>
    </xf>
    <xf numFmtId="0" fontId="3" fillId="0" borderId="31" xfId="0" applyFont="1" applyBorder="1" applyAlignment="1">
      <alignment horizontal="center" vertical="center" wrapText="1"/>
    </xf>
    <xf numFmtId="0" fontId="9" fillId="3" borderId="0" xfId="0" applyFont="1" applyFill="1" applyAlignment="1">
      <alignment horizontal="center"/>
    </xf>
    <xf numFmtId="0" fontId="3" fillId="0" borderId="23" xfId="0" applyFont="1" applyBorder="1" applyAlignment="1">
      <alignment horizontal="center"/>
    </xf>
    <xf numFmtId="0" fontId="3" fillId="0" borderId="24" xfId="0" applyFont="1" applyBorder="1" applyAlignment="1">
      <alignment horizontal="center"/>
    </xf>
    <xf numFmtId="0" fontId="3" fillId="0" borderId="24" xfId="0" applyFont="1" applyBorder="1" applyAlignment="1">
      <alignment horizontal="center" wrapText="1"/>
    </xf>
    <xf numFmtId="0" fontId="3" fillId="0" borderId="27" xfId="0" applyFont="1" applyBorder="1" applyAlignment="1">
      <alignment horizontal="center"/>
    </xf>
    <xf numFmtId="0" fontId="3" fillId="0" borderId="26" xfId="0" applyFont="1" applyBorder="1" applyAlignment="1">
      <alignment horizontal="center"/>
    </xf>
    <xf numFmtId="0" fontId="3" fillId="0" borderId="16" xfId="0" applyFont="1" applyBorder="1" applyAlignment="1">
      <alignment horizontal="center" wrapText="1"/>
    </xf>
    <xf numFmtId="0" fontId="3" fillId="0" borderId="12" xfId="0" applyFont="1" applyBorder="1" applyAlignment="1">
      <alignment horizontal="center" wrapText="1"/>
    </xf>
    <xf numFmtId="0" fontId="3" fillId="0" borderId="13" xfId="0" applyFont="1" applyBorder="1" applyAlignment="1">
      <alignment horizontal="center" wrapText="1"/>
    </xf>
    <xf numFmtId="0" fontId="8" fillId="0" borderId="1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3" fillId="0" borderId="0" xfId="0" applyFont="1" applyAlignment="1">
      <alignment horizontal="center" wrapText="1"/>
    </xf>
    <xf numFmtId="0" fontId="8" fillId="0" borderId="41" xfId="0" applyFont="1" applyBorder="1" applyAlignment="1">
      <alignment horizontal="center"/>
    </xf>
    <xf numFmtId="0" fontId="8" fillId="0" borderId="43"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41" xfId="0" applyFont="1" applyBorder="1" applyAlignment="1">
      <alignment horizontal="center"/>
    </xf>
    <xf numFmtId="0" fontId="9" fillId="3" borderId="0" xfId="0" applyFont="1" applyFill="1" applyAlignment="1">
      <alignment horizontal="center" vertical="center"/>
    </xf>
    <xf numFmtId="0" fontId="3" fillId="0" borderId="59" xfId="0" applyFont="1" applyBorder="1" applyAlignment="1">
      <alignment horizontal="center" vertical="center"/>
    </xf>
    <xf numFmtId="49" fontId="11" fillId="11" borderId="65" xfId="0" applyNumberFormat="1" applyFont="1" applyFill="1" applyBorder="1" applyAlignment="1">
      <alignment horizontal="center" vertical="center" wrapText="1"/>
    </xf>
    <xf numFmtId="49" fontId="11" fillId="11" borderId="57" xfId="0" applyNumberFormat="1" applyFont="1" applyFill="1" applyBorder="1" applyAlignment="1">
      <alignment horizontal="center" vertical="center" wrapText="1"/>
    </xf>
    <xf numFmtId="49" fontId="11" fillId="11" borderId="66" xfId="0" applyNumberFormat="1" applyFont="1" applyFill="1" applyBorder="1" applyAlignment="1">
      <alignment horizontal="center" vertical="center" wrapText="1"/>
    </xf>
    <xf numFmtId="1" fontId="11" fillId="7" borderId="53" xfId="0" applyNumberFormat="1" applyFont="1" applyFill="1" applyBorder="1" applyAlignment="1">
      <alignment horizontal="center" vertical="center" wrapText="1"/>
    </xf>
    <xf numFmtId="1" fontId="11" fillId="7" borderId="0" xfId="0" applyNumberFormat="1" applyFont="1" applyFill="1" applyAlignment="1">
      <alignment horizontal="center" vertical="center" wrapText="1"/>
    </xf>
    <xf numFmtId="1" fontId="11" fillId="7" borderId="5" xfId="0" applyNumberFormat="1" applyFont="1" applyFill="1" applyBorder="1" applyAlignment="1">
      <alignment horizontal="center" vertical="center" wrapText="1"/>
    </xf>
    <xf numFmtId="0" fontId="11" fillId="13" borderId="8" xfId="0" applyFont="1" applyFill="1" applyBorder="1" applyAlignment="1">
      <alignment horizontal="left" vertical="center" wrapText="1"/>
    </xf>
    <xf numFmtId="0" fontId="11" fillId="13" borderId="10" xfId="0" applyFont="1" applyFill="1" applyBorder="1" applyAlignment="1">
      <alignment horizontal="left" vertical="center" wrapText="1"/>
    </xf>
    <xf numFmtId="1" fontId="11" fillId="7" borderId="61" xfId="0" applyNumberFormat="1" applyFont="1" applyFill="1" applyBorder="1" applyAlignment="1">
      <alignment horizontal="center" vertical="center" wrapText="1"/>
    </xf>
    <xf numFmtId="1" fontId="11" fillId="7" borderId="56" xfId="0" applyNumberFormat="1" applyFont="1" applyFill="1" applyBorder="1" applyAlignment="1">
      <alignment horizontal="center" vertical="center" wrapText="1"/>
    </xf>
    <xf numFmtId="1" fontId="11" fillId="7" borderId="62" xfId="0" applyNumberFormat="1" applyFont="1" applyFill="1" applyBorder="1" applyAlignment="1">
      <alignment horizontal="center" vertical="center" wrapText="1"/>
    </xf>
    <xf numFmtId="0" fontId="11" fillId="11" borderId="65" xfId="0" applyFont="1" applyFill="1" applyBorder="1" applyAlignment="1">
      <alignment horizontal="center" vertical="center" wrapText="1"/>
    </xf>
    <xf numFmtId="0" fontId="11" fillId="11" borderId="57" xfId="0" applyFont="1" applyFill="1" applyBorder="1" applyAlignment="1">
      <alignment horizontal="center" vertical="center" wrapText="1"/>
    </xf>
    <xf numFmtId="0" fontId="11" fillId="11" borderId="66" xfId="0" applyFont="1" applyFill="1" applyBorder="1" applyAlignment="1">
      <alignment horizontal="center" vertical="center" wrapText="1"/>
    </xf>
    <xf numFmtId="0" fontId="13" fillId="2" borderId="63" xfId="0" applyFont="1" applyFill="1" applyBorder="1" applyAlignment="1">
      <alignment horizontal="center" vertical="center" wrapText="1"/>
    </xf>
    <xf numFmtId="0" fontId="13" fillId="2" borderId="55" xfId="0" applyFont="1" applyFill="1" applyBorder="1" applyAlignment="1">
      <alignment horizontal="center" vertical="center" wrapText="1"/>
    </xf>
    <xf numFmtId="0" fontId="13" fillId="2" borderId="28" xfId="0" applyFont="1" applyFill="1" applyBorder="1" applyAlignment="1">
      <alignment horizontal="center" vertical="center" wrapText="1"/>
    </xf>
    <xf numFmtId="0" fontId="3" fillId="5" borderId="0" xfId="0" applyFont="1" applyFill="1" applyAlignment="1">
      <alignment horizontal="center" vertical="center"/>
    </xf>
    <xf numFmtId="0" fontId="3" fillId="6" borderId="27" xfId="0" applyFont="1" applyFill="1" applyBorder="1" applyAlignment="1">
      <alignment horizontal="center" vertical="center"/>
    </xf>
    <xf numFmtId="0" fontId="3" fillId="6" borderId="26" xfId="0" applyFont="1" applyFill="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1" fontId="11" fillId="7" borderId="3" xfId="0" applyNumberFormat="1" applyFont="1" applyFill="1" applyBorder="1" applyAlignment="1">
      <alignment horizontal="center" vertical="center" wrapText="1"/>
    </xf>
    <xf numFmtId="1" fontId="11" fillId="7" borderId="44" xfId="0" applyNumberFormat="1" applyFont="1" applyFill="1" applyBorder="1" applyAlignment="1">
      <alignment horizontal="center" vertical="center" wrapText="1"/>
    </xf>
    <xf numFmtId="0" fontId="0" fillId="13" borderId="8" xfId="0" applyFill="1" applyBorder="1" applyAlignment="1">
      <alignment horizontal="left" vertical="center" wrapText="1"/>
    </xf>
    <xf numFmtId="0" fontId="0" fillId="13" borderId="10" xfId="0" applyFill="1" applyBorder="1" applyAlignment="1">
      <alignment horizontal="left" vertical="center" wrapText="1"/>
    </xf>
    <xf numFmtId="0" fontId="11" fillId="0" borderId="2" xfId="0" applyFont="1" applyBorder="1" applyAlignment="1">
      <alignment horizontal="center" vertical="center"/>
    </xf>
    <xf numFmtId="0" fontId="11" fillId="0" borderId="50" xfId="0" applyFont="1" applyBorder="1" applyAlignment="1">
      <alignment horizontal="center" vertical="center"/>
    </xf>
    <xf numFmtId="0" fontId="11" fillId="0" borderId="60" xfId="0" applyFont="1" applyBorder="1" applyAlignment="1">
      <alignment horizontal="center" vertical="center"/>
    </xf>
    <xf numFmtId="0" fontId="0" fillId="2" borderId="63" xfId="0" applyFill="1" applyBorder="1" applyAlignment="1">
      <alignment horizontal="center" vertical="center" wrapText="1"/>
    </xf>
    <xf numFmtId="0" fontId="0" fillId="2" borderId="61" xfId="0" applyFill="1" applyBorder="1" applyAlignment="1">
      <alignment horizontal="center" vertical="center" wrapText="1"/>
    </xf>
    <xf numFmtId="0" fontId="0" fillId="2" borderId="55" xfId="0" applyFill="1" applyBorder="1" applyAlignment="1">
      <alignment horizontal="center" vertical="center" wrapText="1"/>
    </xf>
    <xf numFmtId="0" fontId="0" fillId="2" borderId="56" xfId="0" applyFill="1" applyBorder="1" applyAlignment="1">
      <alignment horizontal="center" vertical="center" wrapText="1"/>
    </xf>
    <xf numFmtId="0" fontId="0" fillId="2" borderId="28" xfId="0" applyFill="1" applyBorder="1" applyAlignment="1">
      <alignment horizontal="center" vertical="center" wrapText="1"/>
    </xf>
    <xf numFmtId="0" fontId="0" fillId="2" borderId="29" xfId="0" applyFill="1" applyBorder="1" applyAlignment="1">
      <alignment horizontal="center" vertical="center" wrapText="1"/>
    </xf>
    <xf numFmtId="0" fontId="0" fillId="0" borderId="65" xfId="0" applyBorder="1" applyAlignment="1">
      <alignment horizontal="center" vertical="center" wrapText="1"/>
    </xf>
    <xf numFmtId="0" fontId="0" fillId="0" borderId="57" xfId="0" applyBorder="1" applyAlignment="1">
      <alignment horizontal="center" vertical="center" wrapText="1"/>
    </xf>
    <xf numFmtId="0" fontId="0" fillId="0" borderId="58" xfId="0" applyBorder="1" applyAlignment="1">
      <alignment horizontal="center" vertical="center" wrapText="1"/>
    </xf>
    <xf numFmtId="0" fontId="11" fillId="0" borderId="40" xfId="0" applyFont="1" applyBorder="1" applyAlignment="1">
      <alignment horizontal="center" vertical="center"/>
    </xf>
    <xf numFmtId="0" fontId="11" fillId="0" borderId="52" xfId="0" applyFont="1" applyBorder="1" applyAlignment="1">
      <alignment horizontal="center" vertical="center"/>
    </xf>
    <xf numFmtId="9" fontId="0" fillId="2" borderId="63" xfId="0" applyNumberFormat="1" applyFill="1" applyBorder="1" applyAlignment="1">
      <alignment horizontal="center" vertical="center" wrapText="1"/>
    </xf>
    <xf numFmtId="0" fontId="0" fillId="2" borderId="64" xfId="0" applyFill="1" applyBorder="1" applyAlignment="1">
      <alignment horizontal="center" vertical="center" wrapText="1"/>
    </xf>
    <xf numFmtId="0" fontId="0" fillId="2" borderId="62" xfId="0" applyFill="1" applyBorder="1" applyAlignment="1">
      <alignment horizontal="center" vertical="center" wrapText="1"/>
    </xf>
    <xf numFmtId="0" fontId="0" fillId="0" borderId="66" xfId="0" applyBorder="1" applyAlignment="1">
      <alignment horizontal="center" vertical="center" wrapText="1"/>
    </xf>
    <xf numFmtId="0" fontId="0" fillId="0" borderId="32" xfId="0" applyBorder="1" applyAlignment="1">
      <alignment horizontal="center" vertical="center" wrapText="1"/>
    </xf>
    <xf numFmtId="0" fontId="0" fillId="11" borderId="65" xfId="0" applyFill="1" applyBorder="1" applyAlignment="1">
      <alignment horizontal="center" vertical="center" wrapText="1"/>
    </xf>
    <xf numFmtId="0" fontId="0" fillId="11" borderId="57" xfId="0" applyFill="1" applyBorder="1" applyAlignment="1">
      <alignment horizontal="center" vertical="center" wrapText="1"/>
    </xf>
    <xf numFmtId="0" fontId="0" fillId="11" borderId="66" xfId="0" applyFill="1" applyBorder="1" applyAlignment="1">
      <alignment horizontal="center" vertical="center" wrapText="1"/>
    </xf>
    <xf numFmtId="0" fontId="11" fillId="13" borderId="54" xfId="0" applyFont="1" applyFill="1" applyBorder="1" applyAlignment="1">
      <alignment horizontal="left" vertical="center" wrapText="1"/>
    </xf>
    <xf numFmtId="0" fontId="11" fillId="13" borderId="9" xfId="0" applyFont="1" applyFill="1" applyBorder="1" applyAlignment="1">
      <alignment horizontal="left" vertical="center" wrapText="1"/>
    </xf>
    <xf numFmtId="0" fontId="0" fillId="0" borderId="36" xfId="0" applyBorder="1" applyAlignment="1">
      <alignment horizontal="center" vertical="center" wrapText="1"/>
    </xf>
    <xf numFmtId="0" fontId="13" fillId="0" borderId="17" xfId="0" applyFont="1" applyBorder="1" applyAlignment="1">
      <alignment horizontal="center" vertical="center" wrapText="1"/>
    </xf>
    <xf numFmtId="0" fontId="13" fillId="0" borderId="19" xfId="0" applyFont="1" applyBorder="1" applyAlignment="1">
      <alignment horizontal="center" vertical="center" wrapText="1"/>
    </xf>
    <xf numFmtId="0" fontId="0" fillId="11" borderId="46"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8" xfId="0" applyFill="1" applyBorder="1" applyAlignment="1">
      <alignment horizontal="center" vertical="center" wrapText="1"/>
    </xf>
    <xf numFmtId="0" fontId="0" fillId="2" borderId="10" xfId="0" applyFill="1" applyBorder="1" applyAlignment="1">
      <alignment horizontal="center" vertical="center" wrapText="1"/>
    </xf>
    <xf numFmtId="0" fontId="11" fillId="11" borderId="32" xfId="0" applyFont="1" applyFill="1" applyBorder="1" applyAlignment="1">
      <alignment horizontal="center" vertical="center" wrapText="1"/>
    </xf>
    <xf numFmtId="10" fontId="0" fillId="2" borderId="63" xfId="0" applyNumberFormat="1" applyFill="1" applyBorder="1" applyAlignment="1">
      <alignment horizontal="center" vertical="center" wrapText="1"/>
    </xf>
    <xf numFmtId="9" fontId="0" fillId="2" borderId="55" xfId="0" applyNumberFormat="1" applyFill="1" applyBorder="1" applyAlignment="1">
      <alignment horizontal="center" vertical="center" wrapText="1"/>
    </xf>
    <xf numFmtId="9" fontId="0" fillId="2" borderId="8" xfId="0" applyNumberFormat="1" applyFill="1" applyBorder="1" applyAlignment="1">
      <alignment horizontal="center" vertical="center" wrapText="1"/>
    </xf>
    <xf numFmtId="0" fontId="18" fillId="6" borderId="27" xfId="0" applyFont="1" applyFill="1" applyBorder="1" applyAlignment="1">
      <alignment horizontal="center"/>
    </xf>
    <xf numFmtId="0" fontId="18" fillId="6" borderId="69" xfId="0" applyFont="1" applyFill="1" applyBorder="1" applyAlignment="1">
      <alignment horizontal="center"/>
    </xf>
    <xf numFmtId="0" fontId="18" fillId="6" borderId="26" xfId="0" applyFont="1" applyFill="1" applyBorder="1" applyAlignment="1">
      <alignment horizontal="center"/>
    </xf>
    <xf numFmtId="43" fontId="18" fillId="6" borderId="17" xfId="4" applyFont="1" applyFill="1" applyBorder="1" applyAlignment="1" applyProtection="1">
      <alignment horizontal="center"/>
    </xf>
    <xf numFmtId="43" fontId="18" fillId="6" borderId="16" xfId="4" applyFont="1" applyFill="1" applyBorder="1" applyAlignment="1" applyProtection="1">
      <alignment horizontal="center"/>
    </xf>
    <xf numFmtId="43" fontId="18" fillId="6" borderId="18" xfId="4" applyFont="1" applyFill="1" applyBorder="1" applyAlignment="1" applyProtection="1">
      <alignment horizontal="center"/>
    </xf>
    <xf numFmtId="43" fontId="18" fillId="6" borderId="24" xfId="4" applyFont="1" applyFill="1" applyBorder="1" applyAlignment="1" applyProtection="1">
      <alignment horizontal="center"/>
    </xf>
    <xf numFmtId="0" fontId="18" fillId="6" borderId="54"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8" fillId="6" borderId="27" xfId="0" applyFont="1" applyFill="1" applyBorder="1" applyAlignment="1">
      <alignment horizontal="center" vertical="center" wrapText="1"/>
    </xf>
    <xf numFmtId="0" fontId="18" fillId="6" borderId="69" xfId="0" applyFont="1" applyFill="1" applyBorder="1" applyAlignment="1">
      <alignment horizontal="center" vertical="center" wrapText="1"/>
    </xf>
    <xf numFmtId="0" fontId="18" fillId="6" borderId="26" xfId="0" applyFont="1" applyFill="1" applyBorder="1" applyAlignment="1">
      <alignment horizontal="center" vertical="center" wrapText="1"/>
    </xf>
    <xf numFmtId="2" fontId="25" fillId="0" borderId="55" xfId="3" applyNumberFormat="1" applyFont="1" applyFill="1" applyBorder="1" applyAlignment="1" applyProtection="1">
      <alignment horizontal="center" vertical="center" wrapText="1"/>
    </xf>
    <xf numFmtId="2" fontId="25" fillId="0" borderId="0" xfId="3" applyNumberFormat="1" applyFont="1" applyFill="1" applyBorder="1" applyAlignment="1" applyProtection="1">
      <alignment horizontal="center" vertical="center" wrapText="1"/>
    </xf>
    <xf numFmtId="2" fontId="18" fillId="6" borderId="46" xfId="3" applyNumberFormat="1" applyFont="1" applyFill="1" applyBorder="1" applyAlignment="1" applyProtection="1">
      <alignment horizontal="center" vertical="center" wrapText="1"/>
    </xf>
    <xf numFmtId="2" fontId="18" fillId="6" borderId="58" xfId="3" applyNumberFormat="1" applyFont="1" applyFill="1" applyBorder="1" applyAlignment="1" applyProtection="1">
      <alignment horizontal="center" vertical="center" wrapText="1"/>
    </xf>
    <xf numFmtId="0" fontId="18" fillId="6" borderId="46" xfId="3" applyFont="1" applyFill="1" applyBorder="1" applyAlignment="1" applyProtection="1">
      <alignment horizontal="center" vertical="center"/>
      <protection locked="0"/>
    </xf>
    <xf numFmtId="0" fontId="18" fillId="6" borderId="58" xfId="3" applyFont="1" applyFill="1" applyBorder="1" applyAlignment="1" applyProtection="1">
      <alignment horizontal="center" vertical="center"/>
      <protection locked="0"/>
    </xf>
    <xf numFmtId="2" fontId="18" fillId="6" borderId="46" xfId="4" applyNumberFormat="1" applyFont="1" applyFill="1" applyBorder="1" applyAlignment="1" applyProtection="1">
      <alignment horizontal="center" vertical="center"/>
    </xf>
    <xf numFmtId="2" fontId="18" fillId="6" borderId="58" xfId="4" applyNumberFormat="1" applyFont="1" applyFill="1" applyBorder="1" applyAlignment="1" applyProtection="1">
      <alignment horizontal="center" vertical="center"/>
    </xf>
    <xf numFmtId="0" fontId="18" fillId="0" borderId="0" xfId="0" applyFont="1" applyAlignment="1" applyProtection="1">
      <alignment horizontal="center" vertical="center"/>
      <protection locked="0"/>
    </xf>
    <xf numFmtId="0" fontId="18" fillId="6" borderId="37" xfId="0" applyFont="1" applyFill="1" applyBorder="1" applyAlignment="1" applyProtection="1">
      <alignment horizontal="center"/>
      <protection locked="0"/>
    </xf>
    <xf numFmtId="0" fontId="18" fillId="6" borderId="38" xfId="0" applyFont="1" applyFill="1" applyBorder="1" applyAlignment="1" applyProtection="1">
      <alignment horizontal="center"/>
      <protection locked="0"/>
    </xf>
    <xf numFmtId="0" fontId="21" fillId="0" borderId="37" xfId="0" applyFont="1" applyBorder="1" applyAlignment="1" applyProtection="1">
      <alignment horizontal="center"/>
      <protection locked="0"/>
    </xf>
    <xf numFmtId="0" fontId="21" fillId="0" borderId="68" xfId="0" applyFont="1" applyBorder="1" applyAlignment="1" applyProtection="1">
      <alignment horizontal="center"/>
      <protection locked="0"/>
    </xf>
    <xf numFmtId="0" fontId="21" fillId="0" borderId="38" xfId="0" applyFont="1" applyBorder="1" applyAlignment="1" applyProtection="1">
      <alignment horizontal="center"/>
      <protection locked="0"/>
    </xf>
    <xf numFmtId="0" fontId="18" fillId="6" borderId="28" xfId="0" applyFont="1" applyFill="1" applyBorder="1" applyAlignment="1">
      <alignment horizontal="center" vertical="center" wrapText="1"/>
    </xf>
    <xf numFmtId="0" fontId="18" fillId="6" borderId="59" xfId="0" applyFont="1" applyFill="1" applyBorder="1" applyAlignment="1">
      <alignment horizontal="center" vertical="center" wrapText="1"/>
    </xf>
    <xf numFmtId="0" fontId="18" fillId="6" borderId="74" xfId="0" applyFont="1" applyFill="1" applyBorder="1" applyAlignment="1">
      <alignment horizontal="center" vertical="center" wrapText="1"/>
    </xf>
    <xf numFmtId="0" fontId="21" fillId="0" borderId="27" xfId="0" applyFont="1" applyBorder="1" applyAlignment="1" applyProtection="1">
      <alignment horizontal="center"/>
      <protection locked="0"/>
    </xf>
    <xf numFmtId="0" fontId="21" fillId="0" borderId="69" xfId="0" applyFont="1" applyBorder="1" applyAlignment="1" applyProtection="1">
      <alignment horizontal="center"/>
      <protection locked="0"/>
    </xf>
    <xf numFmtId="0" fontId="21" fillId="0" borderId="26" xfId="0" applyFont="1" applyBorder="1" applyAlignment="1" applyProtection="1">
      <alignment horizontal="center"/>
      <protection locked="0"/>
    </xf>
    <xf numFmtId="10" fontId="21" fillId="0" borderId="27" xfId="0" applyNumberFormat="1" applyFont="1" applyBorder="1" applyAlignment="1" applyProtection="1">
      <alignment horizontal="center"/>
      <protection locked="0"/>
    </xf>
    <xf numFmtId="0" fontId="21" fillId="2" borderId="0" xfId="0" applyFont="1" applyFill="1" applyAlignment="1" applyProtection="1">
      <alignment horizontal="center" wrapText="1"/>
      <protection locked="0"/>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0" xfId="0" applyFont="1" applyAlignment="1">
      <alignment horizontal="center" vertical="center" wrapText="1"/>
    </xf>
    <xf numFmtId="0" fontId="7" fillId="6" borderId="65" xfId="0" applyFont="1" applyFill="1" applyBorder="1" applyAlignment="1">
      <alignment horizontal="center" vertical="center" wrapText="1"/>
    </xf>
    <xf numFmtId="0" fontId="7" fillId="6" borderId="57" xfId="0" applyFont="1" applyFill="1" applyBorder="1" applyAlignment="1">
      <alignment horizontal="center" vertical="center" wrapText="1"/>
    </xf>
    <xf numFmtId="0" fontId="7" fillId="6" borderId="58" xfId="0" applyFont="1" applyFill="1" applyBorder="1" applyAlignment="1">
      <alignment horizontal="center" vertical="center" wrapText="1"/>
    </xf>
    <xf numFmtId="0" fontId="0" fillId="2" borderId="65" xfId="0" applyFill="1" applyBorder="1" applyAlignment="1">
      <alignment horizontal="center" vertical="center" wrapText="1"/>
    </xf>
    <xf numFmtId="0" fontId="0" fillId="2" borderId="57" xfId="0" applyFill="1" applyBorder="1" applyAlignment="1">
      <alignment horizontal="center" vertical="center" wrapText="1"/>
    </xf>
    <xf numFmtId="0" fontId="0" fillId="2" borderId="58" xfId="0" applyFill="1" applyBorder="1" applyAlignment="1">
      <alignment horizontal="center" vertical="center" wrapText="1"/>
    </xf>
  </cellXfs>
  <cellStyles count="7">
    <cellStyle name="Comma" xfId="1" builtinId="3"/>
    <cellStyle name="Comma 2" xfId="4" xr:uid="{7282B1A6-BB0E-FA46-91CA-BADE5FC7F38D}"/>
    <cellStyle name="Normal" xfId="0" builtinId="0"/>
    <cellStyle name="Normal 2" xfId="5" xr:uid="{CB55B686-1DEC-7C44-9F78-4804F1EBF3F7}"/>
    <cellStyle name="Normal 2 2_Monthly deck-Jan'10" xfId="6" xr:uid="{D4185D32-0C69-844D-A0D1-4640FF5254E7}"/>
    <cellStyle name="Normal 5" xfId="3" xr:uid="{0C7599CC-003A-E845-83D1-EA0D79E4AE7F}"/>
    <cellStyle name="Per cent" xfId="2" builtinId="5"/>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126999</xdr:colOff>
      <xdr:row>67</xdr:row>
      <xdr:rowOff>105834</xdr:rowOff>
    </xdr:from>
    <xdr:to>
      <xdr:col>3</xdr:col>
      <xdr:colOff>423332</xdr:colOff>
      <xdr:row>69</xdr:row>
      <xdr:rowOff>137584</xdr:rowOff>
    </xdr:to>
    <xdr:sp macro="" textlink="">
      <xdr:nvSpPr>
        <xdr:cNvPr id="2" name="Left Arrow 1">
          <a:extLst>
            <a:ext uri="{FF2B5EF4-FFF2-40B4-BE49-F238E27FC236}">
              <a16:creationId xmlns:a16="http://schemas.microsoft.com/office/drawing/2014/main" id="{E10DCE41-3901-7B65-904D-E3AE8BF65821}"/>
            </a:ext>
          </a:extLst>
        </xdr:cNvPr>
        <xdr:cNvSpPr/>
      </xdr:nvSpPr>
      <xdr:spPr>
        <a:xfrm>
          <a:off x="7450666" y="15197667"/>
          <a:ext cx="296333" cy="455084"/>
        </a:xfrm>
        <a:prstGeom prst="lef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148166</xdr:colOff>
      <xdr:row>19</xdr:row>
      <xdr:rowOff>116417</xdr:rowOff>
    </xdr:from>
    <xdr:to>
      <xdr:col>3</xdr:col>
      <xdr:colOff>444499</xdr:colOff>
      <xdr:row>19</xdr:row>
      <xdr:rowOff>328084</xdr:rowOff>
    </xdr:to>
    <xdr:sp macro="" textlink="">
      <xdr:nvSpPr>
        <xdr:cNvPr id="3" name="Left Arrow 2">
          <a:extLst>
            <a:ext uri="{FF2B5EF4-FFF2-40B4-BE49-F238E27FC236}">
              <a16:creationId xmlns:a16="http://schemas.microsoft.com/office/drawing/2014/main" id="{7FF4BD2D-E133-C949-8733-CA6F772B4414}"/>
            </a:ext>
          </a:extLst>
        </xdr:cNvPr>
        <xdr:cNvSpPr/>
      </xdr:nvSpPr>
      <xdr:spPr>
        <a:xfrm>
          <a:off x="7471833" y="4127500"/>
          <a:ext cx="296333" cy="211667"/>
        </a:xfrm>
        <a:prstGeom prst="lef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141816</xdr:colOff>
      <xdr:row>20</xdr:row>
      <xdr:rowOff>67733</xdr:rowOff>
    </xdr:from>
    <xdr:to>
      <xdr:col>3</xdr:col>
      <xdr:colOff>438149</xdr:colOff>
      <xdr:row>20</xdr:row>
      <xdr:rowOff>279400</xdr:rowOff>
    </xdr:to>
    <xdr:sp macro="" textlink="">
      <xdr:nvSpPr>
        <xdr:cNvPr id="4" name="Left Arrow 3">
          <a:extLst>
            <a:ext uri="{FF2B5EF4-FFF2-40B4-BE49-F238E27FC236}">
              <a16:creationId xmlns:a16="http://schemas.microsoft.com/office/drawing/2014/main" id="{A1EB7869-CA3F-E348-9AD8-1418BD89AA36}"/>
            </a:ext>
          </a:extLst>
        </xdr:cNvPr>
        <xdr:cNvSpPr/>
      </xdr:nvSpPr>
      <xdr:spPr>
        <a:xfrm>
          <a:off x="7465483" y="4597400"/>
          <a:ext cx="296333" cy="211667"/>
        </a:xfrm>
        <a:prstGeom prst="lef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124882</xdr:colOff>
      <xdr:row>21</xdr:row>
      <xdr:rowOff>103717</xdr:rowOff>
    </xdr:from>
    <xdr:to>
      <xdr:col>3</xdr:col>
      <xdr:colOff>421215</xdr:colOff>
      <xdr:row>21</xdr:row>
      <xdr:rowOff>315384</xdr:rowOff>
    </xdr:to>
    <xdr:sp macro="" textlink="">
      <xdr:nvSpPr>
        <xdr:cNvPr id="5" name="Left Arrow 4">
          <a:extLst>
            <a:ext uri="{FF2B5EF4-FFF2-40B4-BE49-F238E27FC236}">
              <a16:creationId xmlns:a16="http://schemas.microsoft.com/office/drawing/2014/main" id="{E840BBEB-5042-724E-9567-C9C0E30BEE08}"/>
            </a:ext>
          </a:extLst>
        </xdr:cNvPr>
        <xdr:cNvSpPr/>
      </xdr:nvSpPr>
      <xdr:spPr>
        <a:xfrm>
          <a:off x="7448549" y="5024967"/>
          <a:ext cx="296333" cy="211667"/>
        </a:xfrm>
        <a:prstGeom prst="lef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69D6F-DBFC-AD47-A85E-2D3A7F73E94C}">
  <sheetPr codeName="Sheet1"/>
  <dimension ref="B2:B149"/>
  <sheetViews>
    <sheetView tabSelected="1" topLeftCell="A7" workbookViewId="0">
      <selection activeCell="B32" sqref="B32:B33"/>
    </sheetView>
  </sheetViews>
  <sheetFormatPr baseColWidth="10" defaultColWidth="11" defaultRowHeight="16" x14ac:dyDescent="0.2"/>
  <cols>
    <col min="2" max="2" width="32.1640625" bestFit="1" customWidth="1"/>
  </cols>
  <sheetData>
    <row r="2" spans="2:2" x14ac:dyDescent="0.2">
      <c r="B2" t="s">
        <v>73</v>
      </c>
    </row>
    <row r="3" spans="2:2" x14ac:dyDescent="0.2">
      <c r="B3" t="s">
        <v>147</v>
      </c>
    </row>
    <row r="4" spans="2:2" x14ac:dyDescent="0.2">
      <c r="B4" t="s">
        <v>54</v>
      </c>
    </row>
    <row r="6" spans="2:2" x14ac:dyDescent="0.2">
      <c r="B6" t="s">
        <v>114</v>
      </c>
    </row>
    <row r="7" spans="2:2" x14ac:dyDescent="0.2">
      <c r="B7" t="s">
        <v>147</v>
      </c>
    </row>
    <row r="8" spans="2:2" x14ac:dyDescent="0.2">
      <c r="B8" t="s">
        <v>115</v>
      </c>
    </row>
    <row r="10" spans="2:2" x14ac:dyDescent="0.2">
      <c r="B10" t="s">
        <v>117</v>
      </c>
    </row>
    <row r="11" spans="2:2" x14ac:dyDescent="0.2">
      <c r="B11" t="s">
        <v>116</v>
      </c>
    </row>
    <row r="13" spans="2:2" x14ac:dyDescent="0.2">
      <c r="B13" t="s">
        <v>118</v>
      </c>
    </row>
    <row r="14" spans="2:2" x14ac:dyDescent="0.2">
      <c r="B14" t="s">
        <v>119</v>
      </c>
    </row>
    <row r="16" spans="2:2" x14ac:dyDescent="0.2">
      <c r="B16" t="s">
        <v>123</v>
      </c>
    </row>
    <row r="17" spans="2:2" x14ac:dyDescent="0.2">
      <c r="B17" t="s">
        <v>120</v>
      </c>
    </row>
    <row r="18" spans="2:2" x14ac:dyDescent="0.2">
      <c r="B18" t="s">
        <v>121</v>
      </c>
    </row>
    <row r="19" spans="2:2" x14ac:dyDescent="0.2">
      <c r="B19" t="s">
        <v>122</v>
      </c>
    </row>
    <row r="21" spans="2:2" x14ac:dyDescent="0.2">
      <c r="B21" t="s">
        <v>124</v>
      </c>
    </row>
    <row r="22" spans="2:2" x14ac:dyDescent="0.2">
      <c r="B22" t="s">
        <v>88</v>
      </c>
    </row>
    <row r="23" spans="2:2" x14ac:dyDescent="0.2">
      <c r="B23" t="s">
        <v>87</v>
      </c>
    </row>
    <row r="25" spans="2:2" x14ac:dyDescent="0.2">
      <c r="B25" t="s">
        <v>125</v>
      </c>
    </row>
    <row r="26" spans="2:2" x14ac:dyDescent="0.2">
      <c r="B26" t="s">
        <v>126</v>
      </c>
    </row>
    <row r="27" spans="2:2" x14ac:dyDescent="0.2">
      <c r="B27" t="s">
        <v>127</v>
      </c>
    </row>
    <row r="29" spans="2:2" x14ac:dyDescent="0.2">
      <c r="B29" t="s">
        <v>12</v>
      </c>
    </row>
    <row r="30" spans="2:2" x14ac:dyDescent="0.2">
      <c r="B30" t="s">
        <v>128</v>
      </c>
    </row>
    <row r="31" spans="2:2" x14ac:dyDescent="0.2">
      <c r="B31" t="s">
        <v>162</v>
      </c>
    </row>
    <row r="32" spans="2:2" x14ac:dyDescent="0.2">
      <c r="B32" t="s">
        <v>757</v>
      </c>
    </row>
    <row r="33" spans="2:2" x14ac:dyDescent="0.2">
      <c r="B33" t="s">
        <v>758</v>
      </c>
    </row>
    <row r="34" spans="2:2" x14ac:dyDescent="0.2">
      <c r="B34" t="s">
        <v>147</v>
      </c>
    </row>
    <row r="35" spans="2:2" x14ac:dyDescent="0.2">
      <c r="B35" t="s">
        <v>1</v>
      </c>
    </row>
    <row r="37" spans="2:2" x14ac:dyDescent="0.2">
      <c r="B37" t="s">
        <v>310</v>
      </c>
    </row>
    <row r="38" spans="2:2" x14ac:dyDescent="0.2">
      <c r="B38" t="s">
        <v>311</v>
      </c>
    </row>
    <row r="39" spans="2:2" x14ac:dyDescent="0.2">
      <c r="B39" t="s">
        <v>420</v>
      </c>
    </row>
    <row r="42" spans="2:2" x14ac:dyDescent="0.2">
      <c r="B42" t="s">
        <v>144</v>
      </c>
    </row>
    <row r="43" spans="2:2" x14ac:dyDescent="0.2">
      <c r="B43" t="s">
        <v>145</v>
      </c>
    </row>
    <row r="44" spans="2:2" x14ac:dyDescent="0.2">
      <c r="B44" t="s">
        <v>147</v>
      </c>
    </row>
    <row r="45" spans="2:2" x14ac:dyDescent="0.2">
      <c r="B45" t="s">
        <v>146</v>
      </c>
    </row>
    <row r="47" spans="2:2" x14ac:dyDescent="0.2">
      <c r="B47" t="s">
        <v>89</v>
      </c>
    </row>
    <row r="48" spans="2:2" x14ac:dyDescent="0.2">
      <c r="B48" t="s">
        <v>90</v>
      </c>
    </row>
    <row r="49" spans="2:2" x14ac:dyDescent="0.2">
      <c r="B49" t="s">
        <v>147</v>
      </c>
    </row>
    <row r="50" spans="2:2" x14ac:dyDescent="0.2">
      <c r="B50" t="s">
        <v>159</v>
      </c>
    </row>
    <row r="52" spans="2:2" x14ac:dyDescent="0.2">
      <c r="B52" t="s">
        <v>160</v>
      </c>
    </row>
    <row r="53" spans="2:2" x14ac:dyDescent="0.2">
      <c r="B53" t="s">
        <v>86</v>
      </c>
    </row>
    <row r="54" spans="2:2" x14ac:dyDescent="0.2">
      <c r="B54" t="s">
        <v>147</v>
      </c>
    </row>
    <row r="55" spans="2:2" x14ac:dyDescent="0.2">
      <c r="B55" t="s">
        <v>161</v>
      </c>
    </row>
    <row r="57" spans="2:2" x14ac:dyDescent="0.2">
      <c r="B57" t="s">
        <v>163</v>
      </c>
    </row>
    <row r="58" spans="2:2" x14ac:dyDescent="0.2">
      <c r="B58" t="s">
        <v>164</v>
      </c>
    </row>
    <row r="59" spans="2:2" x14ac:dyDescent="0.2">
      <c r="B59" t="s">
        <v>165</v>
      </c>
    </row>
    <row r="60" spans="2:2" x14ac:dyDescent="0.2">
      <c r="B60" t="s">
        <v>166</v>
      </c>
    </row>
    <row r="61" spans="2:2" x14ac:dyDescent="0.2">
      <c r="B61" t="s">
        <v>147</v>
      </c>
    </row>
    <row r="62" spans="2:2" x14ac:dyDescent="0.2">
      <c r="B62" t="s">
        <v>167</v>
      </c>
    </row>
    <row r="64" spans="2:2" x14ac:dyDescent="0.2">
      <c r="B64" t="s">
        <v>168</v>
      </c>
    </row>
    <row r="65" spans="2:2" x14ac:dyDescent="0.2">
      <c r="B65" t="s">
        <v>169</v>
      </c>
    </row>
    <row r="66" spans="2:2" x14ac:dyDescent="0.2">
      <c r="B66" t="s">
        <v>196</v>
      </c>
    </row>
    <row r="67" spans="2:2" x14ac:dyDescent="0.2">
      <c r="B67" t="s">
        <v>170</v>
      </c>
    </row>
    <row r="69" spans="2:2" x14ac:dyDescent="0.2">
      <c r="B69" t="s">
        <v>96</v>
      </c>
    </row>
    <row r="70" spans="2:2" x14ac:dyDescent="0.2">
      <c r="B70" t="s">
        <v>97</v>
      </c>
    </row>
    <row r="71" spans="2:2" x14ac:dyDescent="0.2">
      <c r="B71" t="s">
        <v>197</v>
      </c>
    </row>
    <row r="72" spans="2:2" x14ac:dyDescent="0.2">
      <c r="B72" t="s">
        <v>147</v>
      </c>
    </row>
    <row r="73" spans="2:2" x14ac:dyDescent="0.2">
      <c r="B73" t="s">
        <v>198</v>
      </c>
    </row>
    <row r="75" spans="2:2" x14ac:dyDescent="0.2">
      <c r="B75" t="s">
        <v>98</v>
      </c>
    </row>
    <row r="76" spans="2:2" x14ac:dyDescent="0.2">
      <c r="B76" t="s">
        <v>147</v>
      </c>
    </row>
    <row r="77" spans="2:2" x14ac:dyDescent="0.2">
      <c r="B77" t="s">
        <v>99</v>
      </c>
    </row>
    <row r="79" spans="2:2" x14ac:dyDescent="0.2">
      <c r="B79" t="s">
        <v>192</v>
      </c>
    </row>
    <row r="80" spans="2:2" x14ac:dyDescent="0.2">
      <c r="B80" t="s">
        <v>212</v>
      </c>
    </row>
    <row r="81" spans="2:2" x14ac:dyDescent="0.2">
      <c r="B81" t="s">
        <v>193</v>
      </c>
    </row>
    <row r="82" spans="2:2" x14ac:dyDescent="0.2">
      <c r="B82" t="s">
        <v>213</v>
      </c>
    </row>
    <row r="83" spans="2:2" x14ac:dyDescent="0.2">
      <c r="B83" t="s">
        <v>194</v>
      </c>
    </row>
    <row r="84" spans="2:2" x14ac:dyDescent="0.2">
      <c r="B84" t="s">
        <v>214</v>
      </c>
    </row>
    <row r="86" spans="2:2" x14ac:dyDescent="0.2">
      <c r="B86" t="s">
        <v>288</v>
      </c>
    </row>
    <row r="87" spans="2:2" x14ac:dyDescent="0.2">
      <c r="B87" t="s">
        <v>289</v>
      </c>
    </row>
    <row r="88" spans="2:2" x14ac:dyDescent="0.2">
      <c r="B88" t="s">
        <v>296</v>
      </c>
    </row>
    <row r="89" spans="2:2" x14ac:dyDescent="0.2">
      <c r="B89" t="s">
        <v>290</v>
      </c>
    </row>
    <row r="90" spans="2:2" x14ac:dyDescent="0.2">
      <c r="B90" t="s">
        <v>708</v>
      </c>
    </row>
    <row r="91" spans="2:2" x14ac:dyDescent="0.2">
      <c r="B91" t="s">
        <v>291</v>
      </c>
    </row>
    <row r="92" spans="2:2" x14ac:dyDescent="0.2">
      <c r="B92" t="s">
        <v>292</v>
      </c>
    </row>
    <row r="93" spans="2:2" x14ac:dyDescent="0.2">
      <c r="B93" t="s">
        <v>293</v>
      </c>
    </row>
    <row r="94" spans="2:2" x14ac:dyDescent="0.2">
      <c r="B94" t="s">
        <v>294</v>
      </c>
    </row>
    <row r="95" spans="2:2" x14ac:dyDescent="0.2">
      <c r="B95" t="s">
        <v>97</v>
      </c>
    </row>
    <row r="96" spans="2:2" x14ac:dyDescent="0.2">
      <c r="B96" t="s">
        <v>304</v>
      </c>
    </row>
    <row r="99" spans="2:2" x14ac:dyDescent="0.2">
      <c r="B99" t="s">
        <v>298</v>
      </c>
    </row>
    <row r="100" spans="2:2" x14ac:dyDescent="0.2">
      <c r="B100" t="s">
        <v>299</v>
      </c>
    </row>
    <row r="101" spans="2:2" x14ac:dyDescent="0.2">
      <c r="B101" t="s">
        <v>300</v>
      </c>
    </row>
    <row r="103" spans="2:2" x14ac:dyDescent="0.2">
      <c r="B103" t="s">
        <v>97</v>
      </c>
    </row>
    <row r="104" spans="2:2" x14ac:dyDescent="0.2">
      <c r="B104" t="s">
        <v>304</v>
      </c>
    </row>
    <row r="106" spans="2:2" x14ac:dyDescent="0.2">
      <c r="B106" t="s">
        <v>712</v>
      </c>
    </row>
    <row r="107" spans="2:2" x14ac:dyDescent="0.2">
      <c r="B107" t="s">
        <v>713</v>
      </c>
    </row>
    <row r="108" spans="2:2" x14ac:dyDescent="0.2">
      <c r="B108" t="s">
        <v>147</v>
      </c>
    </row>
    <row r="111" spans="2:2" x14ac:dyDescent="0.2">
      <c r="B111" t="s">
        <v>318</v>
      </c>
    </row>
    <row r="112" spans="2:2" x14ac:dyDescent="0.2">
      <c r="B112" t="s">
        <v>88</v>
      </c>
    </row>
    <row r="113" spans="2:2" x14ac:dyDescent="0.2">
      <c r="B113" t="s">
        <v>319</v>
      </c>
    </row>
    <row r="114" spans="2:2" x14ac:dyDescent="0.2">
      <c r="B114" t="s">
        <v>147</v>
      </c>
    </row>
    <row r="116" spans="2:2" x14ac:dyDescent="0.2">
      <c r="B116" t="s">
        <v>321</v>
      </c>
    </row>
    <row r="117" spans="2:2" x14ac:dyDescent="0.2">
      <c r="B117" t="s">
        <v>320</v>
      </c>
    </row>
    <row r="118" spans="2:2" x14ac:dyDescent="0.2">
      <c r="B118" t="s">
        <v>756</v>
      </c>
    </row>
    <row r="119" spans="2:2" x14ac:dyDescent="0.2">
      <c r="B119" t="s">
        <v>147</v>
      </c>
    </row>
    <row r="120" spans="2:2" x14ac:dyDescent="0.2">
      <c r="B120" t="s">
        <v>322</v>
      </c>
    </row>
    <row r="122" spans="2:2" x14ac:dyDescent="0.2">
      <c r="B122" t="s">
        <v>327</v>
      </c>
    </row>
    <row r="123" spans="2:2" x14ac:dyDescent="0.2">
      <c r="B123" t="s">
        <v>328</v>
      </c>
    </row>
    <row r="124" spans="2:2" x14ac:dyDescent="0.2">
      <c r="B124" t="s">
        <v>329</v>
      </c>
    </row>
    <row r="125" spans="2:2" x14ac:dyDescent="0.2">
      <c r="B125" t="s">
        <v>147</v>
      </c>
    </row>
    <row r="126" spans="2:2" x14ac:dyDescent="0.2">
      <c r="B126" t="s">
        <v>330</v>
      </c>
    </row>
    <row r="128" spans="2:2" x14ac:dyDescent="0.2">
      <c r="B128" t="s">
        <v>331</v>
      </c>
    </row>
    <row r="129" spans="2:2" x14ac:dyDescent="0.2">
      <c r="B129" t="s">
        <v>147</v>
      </c>
    </row>
    <row r="130" spans="2:2" x14ac:dyDescent="0.2">
      <c r="B130" t="s">
        <v>278</v>
      </c>
    </row>
    <row r="132" spans="2:2" x14ac:dyDescent="0.2">
      <c r="B132" t="s">
        <v>339</v>
      </c>
    </row>
    <row r="133" spans="2:2" x14ac:dyDescent="0.2">
      <c r="B133" t="s">
        <v>340</v>
      </c>
    </row>
    <row r="134" spans="2:2" x14ac:dyDescent="0.2">
      <c r="B134" t="s">
        <v>442</v>
      </c>
    </row>
    <row r="136" spans="2:2" x14ac:dyDescent="0.2">
      <c r="B136" t="s">
        <v>394</v>
      </c>
    </row>
    <row r="137" spans="2:2" x14ac:dyDescent="0.2">
      <c r="B137" t="s">
        <v>196</v>
      </c>
    </row>
    <row r="138" spans="2:2" x14ac:dyDescent="0.2">
      <c r="B138" t="s">
        <v>395</v>
      </c>
    </row>
    <row r="140" spans="2:2" x14ac:dyDescent="0.2">
      <c r="B140" t="s">
        <v>407</v>
      </c>
    </row>
    <row r="141" spans="2:2" x14ac:dyDescent="0.2">
      <c r="B141" t="s">
        <v>408</v>
      </c>
    </row>
    <row r="142" spans="2:2" x14ac:dyDescent="0.2">
      <c r="B142" t="s">
        <v>409</v>
      </c>
    </row>
    <row r="144" spans="2:2" x14ac:dyDescent="0.2">
      <c r="B144" t="s">
        <v>652</v>
      </c>
    </row>
    <row r="145" spans="2:2" x14ac:dyDescent="0.2">
      <c r="B145" t="s">
        <v>653</v>
      </c>
    </row>
    <row r="146" spans="2:2" x14ac:dyDescent="0.2">
      <c r="B146" t="s">
        <v>557</v>
      </c>
    </row>
    <row r="148" spans="2:2" x14ac:dyDescent="0.2">
      <c r="B148" t="s">
        <v>710</v>
      </c>
    </row>
    <row r="149" spans="2:2" x14ac:dyDescent="0.2">
      <c r="B149" t="s">
        <v>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D07A7-0C45-AA47-BF42-CDF91B879D5A}">
  <sheetPr codeName="Sheet2">
    <tabColor theme="9" tint="-0.249977111117893"/>
  </sheetPr>
  <dimension ref="B1:L150"/>
  <sheetViews>
    <sheetView zoomScale="120" zoomScaleNormal="120" workbookViewId="0">
      <selection activeCell="C70" sqref="C70:C72"/>
    </sheetView>
  </sheetViews>
  <sheetFormatPr baseColWidth="10" defaultColWidth="11" defaultRowHeight="16" x14ac:dyDescent="0.2"/>
  <cols>
    <col min="1" max="1" width="5" customWidth="1"/>
    <col min="2" max="2" width="54.33203125" customWidth="1"/>
    <col min="3" max="3" width="36.83203125" style="79" customWidth="1"/>
    <col min="4" max="4" width="7.5" style="6" customWidth="1"/>
    <col min="5" max="5" width="46.5" bestFit="1" customWidth="1"/>
    <col min="6" max="6" width="26.83203125" style="7" customWidth="1"/>
    <col min="8" max="8" width="26.33203125" customWidth="1"/>
    <col min="9" max="9" width="22.33203125" customWidth="1"/>
  </cols>
  <sheetData>
    <row r="1" spans="2:6" x14ac:dyDescent="0.2">
      <c r="B1" s="459" t="s">
        <v>302</v>
      </c>
      <c r="C1" s="459"/>
      <c r="D1" s="16"/>
    </row>
    <row r="2" spans="2:6" ht="17" thickBot="1" x14ac:dyDescent="0.25">
      <c r="B2" s="8"/>
      <c r="C2" s="28"/>
      <c r="D2" s="9"/>
    </row>
    <row r="3" spans="2:6" ht="18" thickBot="1" x14ac:dyDescent="0.25">
      <c r="B3" s="460" t="s">
        <v>69</v>
      </c>
      <c r="C3" s="461"/>
      <c r="D3" s="16"/>
      <c r="E3" s="103" t="s">
        <v>741</v>
      </c>
      <c r="F3" s="443">
        <v>45909</v>
      </c>
    </row>
    <row r="4" spans="2:6" ht="18" thickBot="1" x14ac:dyDescent="0.25">
      <c r="B4" s="103" t="s">
        <v>105</v>
      </c>
      <c r="C4" s="190" t="s">
        <v>732</v>
      </c>
      <c r="D4" s="9"/>
      <c r="E4" s="106" t="s">
        <v>742</v>
      </c>
      <c r="F4" s="444" t="s">
        <v>743</v>
      </c>
    </row>
    <row r="5" spans="2:6" ht="17" x14ac:dyDescent="0.2">
      <c r="B5" s="104" t="s">
        <v>107</v>
      </c>
      <c r="C5" s="194" t="s">
        <v>116</v>
      </c>
      <c r="D5" s="9"/>
    </row>
    <row r="6" spans="2:6" ht="17" x14ac:dyDescent="0.2">
      <c r="B6" s="104" t="s">
        <v>106</v>
      </c>
      <c r="C6" s="195">
        <v>32643</v>
      </c>
      <c r="D6" s="9"/>
    </row>
    <row r="7" spans="2:6" ht="17" x14ac:dyDescent="0.2">
      <c r="B7" s="104" t="s">
        <v>656</v>
      </c>
      <c r="C7" s="367">
        <f ca="1">(TODAY()-C6)/365</f>
        <v>36.375342465753427</v>
      </c>
      <c r="D7" s="9"/>
    </row>
    <row r="8" spans="2:6" ht="17" x14ac:dyDescent="0.2">
      <c r="B8" s="104" t="s">
        <v>108</v>
      </c>
      <c r="C8" s="194" t="s">
        <v>119</v>
      </c>
      <c r="D8" s="9"/>
    </row>
    <row r="9" spans="2:6" ht="17" x14ac:dyDescent="0.2">
      <c r="B9" s="104" t="s">
        <v>109</v>
      </c>
      <c r="C9" s="194" t="s">
        <v>121</v>
      </c>
      <c r="D9" s="9"/>
    </row>
    <row r="10" spans="2:6" ht="17" x14ac:dyDescent="0.2">
      <c r="B10" s="104" t="s">
        <v>208</v>
      </c>
      <c r="C10" s="190">
        <v>2</v>
      </c>
      <c r="D10" s="9"/>
    </row>
    <row r="11" spans="2:6" ht="17" x14ac:dyDescent="0.2">
      <c r="B11" s="104" t="s">
        <v>220</v>
      </c>
      <c r="C11" s="190">
        <v>1</v>
      </c>
      <c r="D11" s="9"/>
    </row>
    <row r="12" spans="2:6" ht="17" x14ac:dyDescent="0.2">
      <c r="B12" s="104" t="s">
        <v>654</v>
      </c>
      <c r="C12" s="194" t="s">
        <v>54</v>
      </c>
      <c r="D12" s="9"/>
    </row>
    <row r="13" spans="2:6" ht="17" x14ac:dyDescent="0.2">
      <c r="B13" s="104" t="s">
        <v>428</v>
      </c>
      <c r="C13" s="190">
        <v>2020</v>
      </c>
      <c r="D13" s="9"/>
    </row>
    <row r="14" spans="2:6" ht="17" x14ac:dyDescent="0.2">
      <c r="B14" s="104" t="s">
        <v>110</v>
      </c>
      <c r="C14" s="194" t="s">
        <v>87</v>
      </c>
      <c r="D14" s="9"/>
    </row>
    <row r="15" spans="2:6" ht="17" x14ac:dyDescent="0.2">
      <c r="B15" s="104" t="s">
        <v>231</v>
      </c>
      <c r="C15" s="190" t="s">
        <v>427</v>
      </c>
      <c r="D15" s="9"/>
    </row>
    <row r="16" spans="2:6" ht="17" x14ac:dyDescent="0.2">
      <c r="B16" s="104" t="s">
        <v>219</v>
      </c>
      <c r="C16" s="190">
        <v>36</v>
      </c>
      <c r="D16" s="9"/>
    </row>
    <row r="17" spans="2:5" ht="17" x14ac:dyDescent="0.2">
      <c r="B17" s="104" t="s">
        <v>636</v>
      </c>
      <c r="C17" s="194" t="s">
        <v>54</v>
      </c>
      <c r="D17" s="9"/>
    </row>
    <row r="18" spans="2:5" ht="17" x14ac:dyDescent="0.2">
      <c r="B18" s="104" t="s">
        <v>429</v>
      </c>
      <c r="C18" s="194" t="s">
        <v>54</v>
      </c>
      <c r="D18" s="9"/>
    </row>
    <row r="19" spans="2:5" ht="17" x14ac:dyDescent="0.2">
      <c r="B19" s="104" t="s">
        <v>430</v>
      </c>
      <c r="C19" s="194" t="s">
        <v>54</v>
      </c>
      <c r="D19" s="9"/>
    </row>
    <row r="20" spans="2:5" ht="41" customHeight="1" x14ac:dyDescent="0.2">
      <c r="B20" s="104" t="s">
        <v>671</v>
      </c>
      <c r="C20" s="194" t="s">
        <v>54</v>
      </c>
      <c r="D20" s="9"/>
      <c r="E20" s="439" t="s">
        <v>730</v>
      </c>
    </row>
    <row r="21" spans="2:5" ht="31" customHeight="1" x14ac:dyDescent="0.2">
      <c r="B21" s="99" t="s">
        <v>707</v>
      </c>
      <c r="C21" s="198" t="s">
        <v>54</v>
      </c>
      <c r="D21" s="9"/>
      <c r="E21" s="439" t="s">
        <v>730</v>
      </c>
    </row>
    <row r="22" spans="2:5" ht="35" thickBot="1" x14ac:dyDescent="0.25">
      <c r="B22" s="101" t="s">
        <v>729</v>
      </c>
      <c r="C22" s="381" t="s">
        <v>54</v>
      </c>
      <c r="D22" s="9"/>
      <c r="E22" s="439" t="s">
        <v>731</v>
      </c>
    </row>
    <row r="23" spans="2:5" ht="17" thickBot="1" x14ac:dyDescent="0.25">
      <c r="C23" s="11"/>
      <c r="D23"/>
    </row>
    <row r="24" spans="2:5" ht="17" thickBot="1" x14ac:dyDescent="0.25">
      <c r="B24" s="463" t="s">
        <v>431</v>
      </c>
      <c r="C24" s="464"/>
      <c r="D24" s="9"/>
    </row>
    <row r="25" spans="2:5" ht="17" x14ac:dyDescent="0.2">
      <c r="B25" s="100" t="s">
        <v>432</v>
      </c>
      <c r="C25" s="197" t="s">
        <v>755</v>
      </c>
      <c r="D25" s="9"/>
    </row>
    <row r="26" spans="2:5" ht="17" x14ac:dyDescent="0.2">
      <c r="B26" s="99" t="s">
        <v>107</v>
      </c>
      <c r="C26" s="198" t="s">
        <v>116</v>
      </c>
      <c r="D26" s="9"/>
    </row>
    <row r="27" spans="2:5" ht="17" x14ac:dyDescent="0.2">
      <c r="B27" s="99" t="s">
        <v>106</v>
      </c>
      <c r="C27" s="200">
        <v>33311</v>
      </c>
      <c r="D27" s="9"/>
    </row>
    <row r="28" spans="2:5" ht="17" x14ac:dyDescent="0.2">
      <c r="B28" s="99" t="s">
        <v>108</v>
      </c>
      <c r="C28" s="198" t="s">
        <v>119</v>
      </c>
      <c r="D28" s="9"/>
    </row>
    <row r="29" spans="2:5" ht="17" x14ac:dyDescent="0.2">
      <c r="B29" s="99" t="s">
        <v>109</v>
      </c>
      <c r="C29" s="198" t="s">
        <v>121</v>
      </c>
      <c r="D29" s="9"/>
    </row>
    <row r="30" spans="2:5" ht="17" x14ac:dyDescent="0.2">
      <c r="B30" s="99" t="s">
        <v>295</v>
      </c>
      <c r="C30" s="198" t="s">
        <v>291</v>
      </c>
      <c r="D30" s="9"/>
    </row>
    <row r="31" spans="2:5" ht="17" x14ac:dyDescent="0.2">
      <c r="B31" s="99" t="s">
        <v>297</v>
      </c>
      <c r="C31" s="198" t="s">
        <v>300</v>
      </c>
      <c r="D31" s="9"/>
    </row>
    <row r="32" spans="2:5" ht="17" x14ac:dyDescent="0.2">
      <c r="B32" s="99" t="s">
        <v>305</v>
      </c>
      <c r="C32" s="198"/>
      <c r="D32" s="9"/>
    </row>
    <row r="33" spans="2:4" ht="17" x14ac:dyDescent="0.2">
      <c r="B33" s="99" t="s">
        <v>112</v>
      </c>
      <c r="C33" s="199"/>
      <c r="D33" s="9"/>
    </row>
    <row r="34" spans="2:4" ht="17" x14ac:dyDescent="0.2">
      <c r="B34" s="99" t="s">
        <v>231</v>
      </c>
      <c r="C34" s="199" t="s">
        <v>427</v>
      </c>
      <c r="D34" s="9"/>
    </row>
    <row r="35" spans="2:4" ht="17" x14ac:dyDescent="0.2">
      <c r="B35" s="99" t="s">
        <v>303</v>
      </c>
      <c r="C35" s="199"/>
      <c r="D35" s="9"/>
    </row>
    <row r="36" spans="2:4" ht="17" x14ac:dyDescent="0.2">
      <c r="B36" s="99" t="s">
        <v>306</v>
      </c>
      <c r="C36" s="199"/>
      <c r="D36" s="9"/>
    </row>
    <row r="37" spans="2:4" ht="17" x14ac:dyDescent="0.2">
      <c r="B37" s="99" t="s">
        <v>307</v>
      </c>
      <c r="C37" s="199"/>
      <c r="D37" s="9"/>
    </row>
    <row r="38" spans="2:4" ht="17" x14ac:dyDescent="0.2">
      <c r="B38" s="99" t="s">
        <v>308</v>
      </c>
      <c r="C38" s="199"/>
      <c r="D38" s="9"/>
    </row>
    <row r="39" spans="2:4" ht="17" x14ac:dyDescent="0.2">
      <c r="B39" s="99" t="s">
        <v>309</v>
      </c>
      <c r="C39" s="199"/>
      <c r="D39" s="9"/>
    </row>
    <row r="40" spans="2:4" ht="17" x14ac:dyDescent="0.2">
      <c r="B40" s="99" t="s">
        <v>92</v>
      </c>
      <c r="C40" s="199">
        <v>34</v>
      </c>
      <c r="D40" s="9"/>
    </row>
    <row r="41" spans="2:4" ht="17" x14ac:dyDescent="0.2">
      <c r="B41" s="168" t="s">
        <v>94</v>
      </c>
      <c r="C41" s="201" t="s">
        <v>98</v>
      </c>
      <c r="D41" s="9"/>
    </row>
    <row r="42" spans="2:4" ht="35" thickBot="1" x14ac:dyDescent="0.25">
      <c r="B42" s="101" t="s">
        <v>191</v>
      </c>
      <c r="C42" s="202"/>
      <c r="D42" s="9"/>
    </row>
    <row r="43" spans="2:4" ht="17" thickBot="1" x14ac:dyDescent="0.25">
      <c r="C43" s="11"/>
      <c r="D43" s="9"/>
    </row>
    <row r="44" spans="2:4" ht="17" thickBot="1" x14ac:dyDescent="0.25">
      <c r="B44" s="455" t="s">
        <v>301</v>
      </c>
      <c r="C44" s="456"/>
      <c r="D44" s="17"/>
    </row>
    <row r="45" spans="2:4" ht="17" x14ac:dyDescent="0.2">
      <c r="B45" s="103" t="s">
        <v>71</v>
      </c>
      <c r="C45" s="203" t="s">
        <v>733</v>
      </c>
      <c r="D45" s="9"/>
    </row>
    <row r="46" spans="2:4" ht="17" x14ac:dyDescent="0.2">
      <c r="B46" s="104" t="s">
        <v>72</v>
      </c>
      <c r="C46" s="194" t="s">
        <v>125</v>
      </c>
      <c r="D46" s="9"/>
    </row>
    <row r="47" spans="2:4" ht="17" x14ac:dyDescent="0.2">
      <c r="B47" s="105" t="s">
        <v>230</v>
      </c>
      <c r="C47" s="190" t="s">
        <v>427</v>
      </c>
      <c r="D47" s="9"/>
    </row>
    <row r="48" spans="2:4" ht="17" x14ac:dyDescent="0.2">
      <c r="B48" s="105" t="s">
        <v>111</v>
      </c>
      <c r="C48" s="194" t="s">
        <v>193</v>
      </c>
      <c r="D48" s="9"/>
    </row>
    <row r="49" spans="2:4" ht="17" x14ac:dyDescent="0.2">
      <c r="B49" s="105" t="s">
        <v>112</v>
      </c>
      <c r="C49" s="190" t="s">
        <v>734</v>
      </c>
      <c r="D49" s="9"/>
    </row>
    <row r="50" spans="2:4" ht="17" x14ac:dyDescent="0.2">
      <c r="B50" s="105" t="s">
        <v>221</v>
      </c>
      <c r="C50" s="190">
        <v>8</v>
      </c>
      <c r="D50" s="9"/>
    </row>
    <row r="51" spans="2:4" ht="17" x14ac:dyDescent="0.2">
      <c r="B51" s="104" t="s">
        <v>113</v>
      </c>
      <c r="C51" s="194" t="s">
        <v>88</v>
      </c>
      <c r="D51" s="9"/>
    </row>
    <row r="52" spans="2:4" ht="17" x14ac:dyDescent="0.2">
      <c r="B52" s="104" t="s">
        <v>222</v>
      </c>
      <c r="C52" s="190">
        <v>8</v>
      </c>
      <c r="D52" s="9"/>
    </row>
    <row r="53" spans="2:4" ht="17" x14ac:dyDescent="0.2">
      <c r="B53" s="105" t="s">
        <v>275</v>
      </c>
      <c r="C53" s="204">
        <v>700</v>
      </c>
      <c r="D53" s="9"/>
    </row>
    <row r="54" spans="2:4" ht="34" x14ac:dyDescent="0.2">
      <c r="B54" s="105" t="s">
        <v>191</v>
      </c>
      <c r="C54" s="205">
        <v>0.4</v>
      </c>
      <c r="D54" s="9"/>
    </row>
    <row r="55" spans="2:4" ht="18" thickBot="1" x14ac:dyDescent="0.25">
      <c r="B55" s="106" t="s">
        <v>104</v>
      </c>
      <c r="C55" s="196">
        <v>1</v>
      </c>
      <c r="D55" s="9"/>
    </row>
    <row r="56" spans="2:4" ht="17" thickBot="1" x14ac:dyDescent="0.25"/>
    <row r="57" spans="2:4" ht="17" thickBot="1" x14ac:dyDescent="0.25">
      <c r="B57" s="457" t="s">
        <v>189</v>
      </c>
      <c r="C57" s="458"/>
      <c r="D57" s="18"/>
    </row>
    <row r="58" spans="2:4" ht="18" thickBot="1" x14ac:dyDescent="0.25">
      <c r="B58" s="103" t="s">
        <v>709</v>
      </c>
      <c r="C58" s="206" t="s">
        <v>710</v>
      </c>
      <c r="D58" s="18"/>
    </row>
    <row r="59" spans="2:4" ht="17" x14ac:dyDescent="0.2">
      <c r="B59" s="103" t="s">
        <v>433</v>
      </c>
      <c r="C59" s="206">
        <v>20000</v>
      </c>
      <c r="D59" s="19"/>
    </row>
    <row r="60" spans="2:4" ht="17" x14ac:dyDescent="0.2">
      <c r="B60" s="104" t="s">
        <v>43</v>
      </c>
      <c r="C60" s="190">
        <v>24</v>
      </c>
      <c r="D60" s="20"/>
    </row>
    <row r="61" spans="2:4" ht="17" x14ac:dyDescent="0.2">
      <c r="B61" s="104" t="s">
        <v>224</v>
      </c>
      <c r="C61" s="207">
        <v>0.12</v>
      </c>
      <c r="D61" s="21"/>
    </row>
    <row r="62" spans="2:4" ht="17" x14ac:dyDescent="0.2">
      <c r="B62" s="104" t="s">
        <v>434</v>
      </c>
      <c r="C62" s="208">
        <v>0</v>
      </c>
      <c r="D62" s="21"/>
    </row>
    <row r="63" spans="2:4" ht="17" x14ac:dyDescent="0.2">
      <c r="B63" s="104" t="s">
        <v>225</v>
      </c>
      <c r="C63" s="194" t="s">
        <v>311</v>
      </c>
      <c r="D63" s="9"/>
    </row>
    <row r="64" spans="2:4" ht="17" x14ac:dyDescent="0.2">
      <c r="B64" s="104" t="s">
        <v>435</v>
      </c>
      <c r="C64" s="190">
        <v>0</v>
      </c>
      <c r="D64" s="9"/>
    </row>
    <row r="65" spans="2:9" ht="17" x14ac:dyDescent="0.2">
      <c r="B65" s="104" t="s">
        <v>719</v>
      </c>
      <c r="C65" s="435">
        <v>0.25</v>
      </c>
      <c r="D65" s="9"/>
    </row>
    <row r="66" spans="2:9" ht="17" x14ac:dyDescent="0.2">
      <c r="B66" s="104" t="s">
        <v>720</v>
      </c>
      <c r="C66" s="435">
        <v>0.3</v>
      </c>
      <c r="D66" s="9"/>
    </row>
    <row r="67" spans="2:9" ht="17" x14ac:dyDescent="0.2">
      <c r="B67" s="104" t="s">
        <v>436</v>
      </c>
      <c r="C67" s="190">
        <v>1000</v>
      </c>
      <c r="D67" s="9"/>
    </row>
    <row r="68" spans="2:9" ht="17" x14ac:dyDescent="0.2">
      <c r="B68" s="104" t="s">
        <v>437</v>
      </c>
      <c r="C68" s="209">
        <f>'Output Sheet &lt;=$50000'!E52</f>
        <v>20000</v>
      </c>
      <c r="D68" s="9"/>
    </row>
    <row r="69" spans="2:9" ht="17" x14ac:dyDescent="0.2">
      <c r="B69" s="104" t="s">
        <v>438</v>
      </c>
      <c r="C69" s="210">
        <v>20000</v>
      </c>
      <c r="D69" s="9"/>
      <c r="E69" s="76" t="s">
        <v>229</v>
      </c>
      <c r="F69" s="16"/>
      <c r="G69" s="76"/>
      <c r="H69" s="76"/>
    </row>
    <row r="70" spans="2:9" ht="17" x14ac:dyDescent="0.2">
      <c r="B70" s="105" t="s">
        <v>759</v>
      </c>
      <c r="C70" s="450">
        <f>C81+F81+I81+C95+F95+I95</f>
        <v>84000</v>
      </c>
      <c r="D70" s="9"/>
      <c r="E70" s="76"/>
      <c r="F70" s="16"/>
      <c r="G70" s="76"/>
      <c r="H70" s="76"/>
    </row>
    <row r="71" spans="2:9" ht="17" x14ac:dyDescent="0.2">
      <c r="B71" s="105" t="s">
        <v>760</v>
      </c>
      <c r="C71" s="451">
        <f>C69/(C80+F80+I80+C94+F94+I94)</f>
        <v>0.16666666666666666</v>
      </c>
      <c r="D71" s="9"/>
      <c r="E71" s="76"/>
      <c r="F71" s="16"/>
      <c r="G71" s="76"/>
      <c r="H71" s="76"/>
    </row>
    <row r="72" spans="2:9" ht="17" x14ac:dyDescent="0.2">
      <c r="B72" s="449" t="s">
        <v>761</v>
      </c>
      <c r="C72" s="452">
        <f>IFERROR(IF('Customer Details'!C63="Capital Expenditure",
'Output Sheet &lt;=$50000'!I47,
IF('Customer Details'!C63="Working Capital ",
'Output Sheet &lt;=$50000'!I41,IF(C63="Capital Expenditure &amp; Working Capital",'Output Sheet &lt;=$50000'!E57/('Output Sheet &lt;=$50000'!I38+'Output Sheet &lt;=$50000'!I44),
0))),0)</f>
        <v>0.57340672572460638</v>
      </c>
      <c r="D72" s="9"/>
      <c r="E72" s="76"/>
      <c r="F72" s="16"/>
      <c r="G72" s="76"/>
      <c r="H72" s="76"/>
    </row>
    <row r="73" spans="2:9" ht="17" thickBot="1" x14ac:dyDescent="0.25"/>
    <row r="74" spans="2:9" ht="17" thickBot="1" x14ac:dyDescent="0.25">
      <c r="B74" s="455" t="s">
        <v>312</v>
      </c>
      <c r="C74" s="456"/>
      <c r="E74" s="455" t="s">
        <v>313</v>
      </c>
      <c r="F74" s="456"/>
      <c r="H74" s="455" t="s">
        <v>715</v>
      </c>
      <c r="I74" s="456"/>
    </row>
    <row r="75" spans="2:9" ht="17" x14ac:dyDescent="0.2">
      <c r="B75" s="103" t="s">
        <v>75</v>
      </c>
      <c r="C75" s="190" t="s">
        <v>427</v>
      </c>
      <c r="E75" s="103" t="s">
        <v>75</v>
      </c>
      <c r="F75" s="67"/>
      <c r="H75" s="103" t="s">
        <v>75</v>
      </c>
      <c r="I75" s="67"/>
    </row>
    <row r="76" spans="2:9" ht="17" x14ac:dyDescent="0.2">
      <c r="B76" s="104" t="s">
        <v>314</v>
      </c>
      <c r="C76" s="194" t="s">
        <v>712</v>
      </c>
      <c r="E76" s="104" t="s">
        <v>314</v>
      </c>
      <c r="F76" s="108" t="s">
        <v>147</v>
      </c>
      <c r="H76" s="104" t="s">
        <v>314</v>
      </c>
      <c r="I76" s="108" t="s">
        <v>147</v>
      </c>
    </row>
    <row r="77" spans="2:9" ht="17" x14ac:dyDescent="0.2">
      <c r="B77" s="104" t="s">
        <v>315</v>
      </c>
      <c r="C77" s="194" t="s">
        <v>318</v>
      </c>
      <c r="E77" s="104" t="s">
        <v>315</v>
      </c>
      <c r="F77" s="108" t="s">
        <v>147</v>
      </c>
      <c r="H77" s="104" t="s">
        <v>315</v>
      </c>
      <c r="I77" s="108" t="s">
        <v>147</v>
      </c>
    </row>
    <row r="78" spans="2:9" ht="17" x14ac:dyDescent="0.2">
      <c r="B78" s="104" t="s">
        <v>317</v>
      </c>
      <c r="C78" s="194" t="s">
        <v>320</v>
      </c>
      <c r="E78" s="104" t="s">
        <v>317</v>
      </c>
      <c r="F78" s="108" t="s">
        <v>147</v>
      </c>
      <c r="H78" s="104" t="s">
        <v>317</v>
      </c>
      <c r="I78" s="108" t="s">
        <v>147</v>
      </c>
    </row>
    <row r="79" spans="2:9" ht="17" x14ac:dyDescent="0.2">
      <c r="B79" s="105" t="s">
        <v>316</v>
      </c>
      <c r="C79" s="211">
        <v>0</v>
      </c>
      <c r="E79" s="105" t="s">
        <v>316</v>
      </c>
      <c r="F79" s="109">
        <v>0</v>
      </c>
      <c r="H79" s="105" t="s">
        <v>316</v>
      </c>
      <c r="I79" s="109">
        <v>0</v>
      </c>
    </row>
    <row r="80" spans="2:9" ht="18" thickBot="1" x14ac:dyDescent="0.25">
      <c r="B80" s="106" t="s">
        <v>440</v>
      </c>
      <c r="C80" s="212">
        <v>120000</v>
      </c>
      <c r="E80" s="106" t="s">
        <v>440</v>
      </c>
      <c r="F80" s="212">
        <v>0</v>
      </c>
      <c r="H80" s="106" t="s">
        <v>440</v>
      </c>
      <c r="I80" s="212">
        <v>0</v>
      </c>
    </row>
    <row r="81" spans="2:9" ht="18" thickBot="1" x14ac:dyDescent="0.25">
      <c r="B81" s="106" t="s">
        <v>714</v>
      </c>
      <c r="C81" s="212">
        <f>IF(C76="Residential", (70%*C80),IF(C76="Commercial",(60%*C80),0))</f>
        <v>84000</v>
      </c>
      <c r="E81" s="106" t="s">
        <v>714</v>
      </c>
      <c r="F81" s="212">
        <f>IF(F76="Residential", (70%*F80),IF(F76="Commercial",(60%*F80),0))</f>
        <v>0</v>
      </c>
      <c r="H81" s="106" t="s">
        <v>714</v>
      </c>
      <c r="I81" s="212">
        <f>IF(I76="Residential", (70%*I80),IF(I76="Commercial",(60%*I80),0))</f>
        <v>0</v>
      </c>
    </row>
    <row r="82" spans="2:9" ht="17" thickBot="1" x14ac:dyDescent="0.25">
      <c r="C82" s="11"/>
      <c r="D82"/>
      <c r="F82"/>
    </row>
    <row r="83" spans="2:9" ht="17" thickBot="1" x14ac:dyDescent="0.25">
      <c r="B83" s="455" t="s">
        <v>323</v>
      </c>
      <c r="C83" s="456"/>
      <c r="E83" s="455" t="s">
        <v>332</v>
      </c>
      <c r="F83" s="456"/>
    </row>
    <row r="84" spans="2:9" ht="17" x14ac:dyDescent="0.2">
      <c r="B84" s="103" t="s">
        <v>324</v>
      </c>
      <c r="C84" s="190" t="s">
        <v>735</v>
      </c>
      <c r="E84" s="103" t="s">
        <v>324</v>
      </c>
      <c r="F84" s="67"/>
    </row>
    <row r="85" spans="2:9" ht="17" x14ac:dyDescent="0.2">
      <c r="B85" s="104" t="s">
        <v>325</v>
      </c>
      <c r="C85" s="194" t="s">
        <v>331</v>
      </c>
      <c r="E85" s="104" t="s">
        <v>325</v>
      </c>
      <c r="F85" s="102"/>
    </row>
    <row r="86" spans="2:9" ht="17" x14ac:dyDescent="0.2">
      <c r="B86" s="104" t="s">
        <v>326</v>
      </c>
      <c r="C86" s="194" t="s">
        <v>327</v>
      </c>
      <c r="E86" s="104" t="s">
        <v>326</v>
      </c>
      <c r="F86" s="102" t="s">
        <v>327</v>
      </c>
    </row>
    <row r="87" spans="2:9" ht="18" thickBot="1" x14ac:dyDescent="0.25">
      <c r="B87" s="106" t="s">
        <v>439</v>
      </c>
      <c r="C87" s="213">
        <v>5000</v>
      </c>
      <c r="E87" s="106" t="s">
        <v>439</v>
      </c>
      <c r="F87" s="107">
        <v>0</v>
      </c>
    </row>
    <row r="88" spans="2:9" ht="17" thickBot="1" x14ac:dyDescent="0.25">
      <c r="C88" s="11"/>
      <c r="D88"/>
      <c r="F88"/>
    </row>
    <row r="89" spans="2:9" ht="17" thickBot="1" x14ac:dyDescent="0.25">
      <c r="B89" s="455" t="s">
        <v>716</v>
      </c>
      <c r="C89" s="456"/>
      <c r="E89" s="455" t="s">
        <v>717</v>
      </c>
      <c r="F89" s="456"/>
      <c r="H89" s="455" t="s">
        <v>718</v>
      </c>
      <c r="I89" s="456"/>
    </row>
    <row r="90" spans="2:9" ht="17" x14ac:dyDescent="0.2">
      <c r="B90" s="103" t="s">
        <v>333</v>
      </c>
      <c r="C90" s="190"/>
      <c r="E90" s="103" t="s">
        <v>333</v>
      </c>
      <c r="F90" s="67"/>
      <c r="H90" s="103" t="s">
        <v>333</v>
      </c>
      <c r="I90" s="67"/>
    </row>
    <row r="91" spans="2:9" ht="17" x14ac:dyDescent="0.2">
      <c r="B91" s="104" t="s">
        <v>334</v>
      </c>
      <c r="C91" s="190"/>
      <c r="E91" s="104" t="s">
        <v>334</v>
      </c>
      <c r="F91" s="67"/>
      <c r="H91" s="104" t="s">
        <v>334</v>
      </c>
      <c r="I91" s="67"/>
    </row>
    <row r="92" spans="2:9" ht="17" x14ac:dyDescent="0.2">
      <c r="B92" s="104" t="s">
        <v>335</v>
      </c>
      <c r="C92" s="190"/>
      <c r="E92" s="104" t="s">
        <v>335</v>
      </c>
      <c r="F92" s="67"/>
      <c r="H92" s="104" t="s">
        <v>335</v>
      </c>
      <c r="I92" s="67"/>
    </row>
    <row r="93" spans="2:9" ht="17" x14ac:dyDescent="0.2">
      <c r="B93" s="104" t="s">
        <v>317</v>
      </c>
      <c r="C93" s="194"/>
      <c r="E93" s="104" t="s">
        <v>317</v>
      </c>
      <c r="F93" s="102"/>
      <c r="H93" s="104" t="s">
        <v>317</v>
      </c>
      <c r="I93" s="102"/>
    </row>
    <row r="94" spans="2:9" ht="18" thickBot="1" x14ac:dyDescent="0.25">
      <c r="B94" s="106" t="s">
        <v>440</v>
      </c>
      <c r="C94" s="212">
        <v>0</v>
      </c>
      <c r="E94" s="106" t="s">
        <v>440</v>
      </c>
      <c r="F94" s="212">
        <v>0</v>
      </c>
      <c r="H94" s="106" t="s">
        <v>440</v>
      </c>
      <c r="I94" s="212">
        <v>0</v>
      </c>
    </row>
    <row r="95" spans="2:9" ht="18" thickBot="1" x14ac:dyDescent="0.25">
      <c r="B95" s="106" t="s">
        <v>714</v>
      </c>
      <c r="C95" s="212">
        <f>(50%*C94)</f>
        <v>0</v>
      </c>
      <c r="E95" s="106" t="s">
        <v>714</v>
      </c>
      <c r="F95" s="212">
        <f>(50%*F94)</f>
        <v>0</v>
      </c>
      <c r="H95" s="106" t="s">
        <v>714</v>
      </c>
      <c r="I95" s="212">
        <f>(50%*I94)</f>
        <v>0</v>
      </c>
    </row>
    <row r="96" spans="2:9" ht="17" thickBot="1" x14ac:dyDescent="0.25">
      <c r="C96" s="11"/>
      <c r="D96"/>
      <c r="F96"/>
    </row>
    <row r="97" spans="2:12" ht="17" customHeight="1" thickBot="1" x14ac:dyDescent="0.25">
      <c r="B97" s="455" t="s">
        <v>336</v>
      </c>
      <c r="C97" s="456"/>
      <c r="E97" s="455" t="s">
        <v>344</v>
      </c>
      <c r="F97" s="456"/>
    </row>
    <row r="98" spans="2:12" ht="17" x14ac:dyDescent="0.2">
      <c r="B98" s="103" t="s">
        <v>337</v>
      </c>
      <c r="C98" s="190"/>
      <c r="E98" s="103" t="s">
        <v>337</v>
      </c>
      <c r="F98" s="67"/>
    </row>
    <row r="99" spans="2:12" ht="17" x14ac:dyDescent="0.2">
      <c r="B99" s="104" t="s">
        <v>338</v>
      </c>
      <c r="C99" s="194"/>
      <c r="E99" s="104" t="s">
        <v>338</v>
      </c>
      <c r="F99" s="102"/>
    </row>
    <row r="100" spans="2:12" ht="17" x14ac:dyDescent="0.2">
      <c r="B100" s="104" t="s">
        <v>317</v>
      </c>
      <c r="C100" s="194"/>
      <c r="E100" s="104" t="s">
        <v>317</v>
      </c>
      <c r="F100" s="102"/>
    </row>
    <row r="101" spans="2:12" ht="18" thickBot="1" x14ac:dyDescent="0.25">
      <c r="B101" s="106" t="s">
        <v>441</v>
      </c>
      <c r="C101" s="212">
        <v>0</v>
      </c>
      <c r="E101" s="106" t="s">
        <v>441</v>
      </c>
      <c r="F101" s="110">
        <v>0</v>
      </c>
    </row>
    <row r="102" spans="2:12" x14ac:dyDescent="0.2">
      <c r="C102" s="11"/>
      <c r="D102"/>
      <c r="F102"/>
    </row>
    <row r="103" spans="2:12" ht="18" thickBot="1" x14ac:dyDescent="0.25">
      <c r="B103" s="17" t="s">
        <v>419</v>
      </c>
      <c r="C103" s="12"/>
      <c r="D103" s="7"/>
      <c r="E103" s="7"/>
      <c r="G103" s="7"/>
      <c r="H103" s="7"/>
      <c r="I103" s="7"/>
      <c r="J103" s="7"/>
      <c r="K103" s="7"/>
    </row>
    <row r="104" spans="2:12" ht="51" x14ac:dyDescent="0.2">
      <c r="B104" s="111" t="s">
        <v>47</v>
      </c>
      <c r="C104" s="112" t="s">
        <v>48</v>
      </c>
      <c r="D104" s="112" t="s">
        <v>49</v>
      </c>
      <c r="E104" s="112" t="s">
        <v>58</v>
      </c>
      <c r="F104" s="112" t="s">
        <v>50</v>
      </c>
      <c r="G104" s="112" t="s">
        <v>51</v>
      </c>
      <c r="H104" s="112" t="s">
        <v>59</v>
      </c>
      <c r="I104" s="112" t="s">
        <v>52</v>
      </c>
      <c r="J104" s="112" t="s">
        <v>53</v>
      </c>
      <c r="K104" s="112" t="s">
        <v>202</v>
      </c>
      <c r="L104" s="113" t="s">
        <v>341</v>
      </c>
    </row>
    <row r="105" spans="2:12" ht="17" x14ac:dyDescent="0.2">
      <c r="B105" s="73"/>
      <c r="C105" s="214"/>
      <c r="D105" s="63"/>
      <c r="E105" s="63"/>
      <c r="F105" s="63"/>
      <c r="G105" s="63"/>
      <c r="H105" s="5">
        <f>F105-G105</f>
        <v>0</v>
      </c>
      <c r="I105" s="63" t="s">
        <v>218</v>
      </c>
      <c r="J105" s="5">
        <f>IF(I105="No",D105,0)</f>
        <v>0</v>
      </c>
      <c r="K105" s="63">
        <v>0</v>
      </c>
      <c r="L105" s="102"/>
    </row>
    <row r="106" spans="2:12" x14ac:dyDescent="0.2">
      <c r="B106" s="73"/>
      <c r="C106" s="214"/>
      <c r="D106" s="63"/>
      <c r="E106" s="63"/>
      <c r="F106" s="63"/>
      <c r="G106" s="63"/>
      <c r="H106" s="5">
        <f t="shared" ref="H106" si="0">F106-G106</f>
        <v>0</v>
      </c>
      <c r="I106" s="63"/>
      <c r="J106" s="5">
        <f t="shared" ref="J106:J107" si="1">IF(I106="No",D106,0)</f>
        <v>0</v>
      </c>
      <c r="K106" s="63">
        <v>0</v>
      </c>
      <c r="L106" s="102"/>
    </row>
    <row r="107" spans="2:12" ht="17" thickBot="1" x14ac:dyDescent="0.25">
      <c r="B107" s="74"/>
      <c r="C107" s="215"/>
      <c r="D107" s="75"/>
      <c r="E107" s="75"/>
      <c r="F107" s="75"/>
      <c r="G107" s="75"/>
      <c r="H107" s="114"/>
      <c r="I107" s="75"/>
      <c r="J107" s="114">
        <f t="shared" si="1"/>
        <v>0</v>
      </c>
      <c r="K107" s="75">
        <v>0</v>
      </c>
      <c r="L107" s="102"/>
    </row>
    <row r="108" spans="2:12" ht="18" thickBot="1" x14ac:dyDescent="0.25">
      <c r="B108" s="6"/>
      <c r="C108" s="11"/>
      <c r="D108"/>
      <c r="F108"/>
      <c r="I108" s="115" t="s">
        <v>7</v>
      </c>
      <c r="J108" s="116">
        <f>SUM(J105:J107)</f>
        <v>0</v>
      </c>
      <c r="K108" s="117">
        <f>SUM(K105:K107)</f>
        <v>0</v>
      </c>
    </row>
    <row r="109" spans="2:12" ht="18" thickBot="1" x14ac:dyDescent="0.25">
      <c r="B109" s="17" t="s">
        <v>444</v>
      </c>
      <c r="C109" s="12"/>
      <c r="D109" s="7"/>
      <c r="E109" s="7"/>
      <c r="G109" s="7"/>
      <c r="H109" s="7"/>
      <c r="I109" s="7"/>
      <c r="J109" s="7"/>
      <c r="K109" s="7"/>
    </row>
    <row r="110" spans="2:12" ht="51" x14ac:dyDescent="0.2">
      <c r="B110" s="111" t="s">
        <v>47</v>
      </c>
      <c r="C110" s="112" t="s">
        <v>48</v>
      </c>
      <c r="D110" s="112" t="s">
        <v>49</v>
      </c>
      <c r="E110" s="112" t="s">
        <v>58</v>
      </c>
      <c r="F110" s="112" t="s">
        <v>50</v>
      </c>
      <c r="G110" s="112" t="s">
        <v>51</v>
      </c>
      <c r="H110" s="112" t="s">
        <v>59</v>
      </c>
      <c r="I110" s="112" t="s">
        <v>52</v>
      </c>
      <c r="J110" s="112" t="s">
        <v>53</v>
      </c>
      <c r="K110" s="112" t="s">
        <v>202</v>
      </c>
      <c r="L110" s="113" t="s">
        <v>341</v>
      </c>
    </row>
    <row r="111" spans="2:12" ht="17" x14ac:dyDescent="0.2">
      <c r="B111" s="73"/>
      <c r="C111" s="214"/>
      <c r="D111" s="63"/>
      <c r="E111" s="63"/>
      <c r="F111" s="63"/>
      <c r="G111" s="63"/>
      <c r="H111" s="5">
        <f>F111-G111</f>
        <v>0</v>
      </c>
      <c r="I111" s="63" t="s">
        <v>218</v>
      </c>
      <c r="J111" s="5">
        <f>IF(I111="No",D111,0)</f>
        <v>0</v>
      </c>
      <c r="K111" s="63">
        <v>0</v>
      </c>
      <c r="L111" s="102"/>
    </row>
    <row r="112" spans="2:12" x14ac:dyDescent="0.2">
      <c r="B112" s="73"/>
      <c r="C112" s="214"/>
      <c r="D112" s="63"/>
      <c r="E112" s="63"/>
      <c r="F112" s="63"/>
      <c r="G112" s="63"/>
      <c r="H112" s="5">
        <f t="shared" ref="H112" si="2">F112-G112</f>
        <v>0</v>
      </c>
      <c r="I112" s="63"/>
      <c r="J112" s="5">
        <f t="shared" ref="J112:J113" si="3">IF(I112="No",D112,0)</f>
        <v>0</v>
      </c>
      <c r="K112" s="63">
        <v>0</v>
      </c>
      <c r="L112" s="102"/>
    </row>
    <row r="113" spans="2:12" ht="17" thickBot="1" x14ac:dyDescent="0.25">
      <c r="B113" s="74"/>
      <c r="C113" s="215"/>
      <c r="D113" s="75"/>
      <c r="E113" s="75"/>
      <c r="F113" s="75"/>
      <c r="G113" s="75"/>
      <c r="H113" s="114"/>
      <c r="I113" s="75"/>
      <c r="J113" s="114">
        <f t="shared" si="3"/>
        <v>0</v>
      </c>
      <c r="K113" s="75">
        <v>0</v>
      </c>
      <c r="L113" s="102"/>
    </row>
    <row r="114" spans="2:12" ht="18" thickBot="1" x14ac:dyDescent="0.25">
      <c r="B114" s="6"/>
      <c r="C114" s="11"/>
      <c r="D114"/>
      <c r="F114"/>
      <c r="I114" s="115" t="s">
        <v>7</v>
      </c>
      <c r="J114" s="116">
        <f>SUM(J111:J113)</f>
        <v>0</v>
      </c>
      <c r="K114" s="117">
        <f>SUM(K111:K113)</f>
        <v>0</v>
      </c>
    </row>
    <row r="115" spans="2:12" x14ac:dyDescent="0.2">
      <c r="B115" s="6"/>
      <c r="C115" s="11"/>
      <c r="D115"/>
      <c r="F115"/>
      <c r="I115" s="9"/>
      <c r="J115" s="7"/>
      <c r="K115" s="7"/>
    </row>
    <row r="116" spans="2:12" ht="17" thickBot="1" x14ac:dyDescent="0.25">
      <c r="B116" s="6"/>
      <c r="C116" s="11"/>
      <c r="D116"/>
      <c r="F116"/>
      <c r="I116" s="9"/>
      <c r="J116" s="7"/>
      <c r="K116" s="7"/>
    </row>
    <row r="117" spans="2:12" ht="17" thickBot="1" x14ac:dyDescent="0.25">
      <c r="B117" s="453" t="s">
        <v>342</v>
      </c>
      <c r="C117" s="462"/>
      <c r="E117" s="453" t="s">
        <v>343</v>
      </c>
      <c r="F117" s="462"/>
    </row>
    <row r="118" spans="2:12" ht="17" x14ac:dyDescent="0.2">
      <c r="B118" s="103" t="s">
        <v>74</v>
      </c>
      <c r="C118" s="216" t="s">
        <v>736</v>
      </c>
      <c r="E118" s="103" t="s">
        <v>74</v>
      </c>
      <c r="F118" s="122"/>
    </row>
    <row r="119" spans="2:12" ht="17" x14ac:dyDescent="0.2">
      <c r="B119" s="104" t="s">
        <v>75</v>
      </c>
      <c r="C119" s="217" t="s">
        <v>427</v>
      </c>
      <c r="E119" s="104" t="s">
        <v>75</v>
      </c>
      <c r="F119" s="67"/>
    </row>
    <row r="120" spans="2:12" ht="17" x14ac:dyDescent="0.2">
      <c r="B120" s="105" t="s">
        <v>81</v>
      </c>
      <c r="C120" s="217">
        <v>8</v>
      </c>
      <c r="E120" s="105" t="s">
        <v>81</v>
      </c>
      <c r="F120" s="67"/>
    </row>
    <row r="121" spans="2:12" ht="17" x14ac:dyDescent="0.2">
      <c r="B121" s="104" t="s">
        <v>77</v>
      </c>
      <c r="C121" s="218" t="s">
        <v>162</v>
      </c>
      <c r="E121" s="104" t="s">
        <v>77</v>
      </c>
      <c r="F121" s="102"/>
    </row>
    <row r="122" spans="2:12" ht="17" x14ac:dyDescent="0.2">
      <c r="B122" s="104" t="s">
        <v>195</v>
      </c>
      <c r="C122" s="217" t="s">
        <v>737</v>
      </c>
      <c r="E122" s="104" t="s">
        <v>195</v>
      </c>
      <c r="F122" s="67"/>
    </row>
    <row r="123" spans="2:12" ht="17" x14ac:dyDescent="0.2">
      <c r="B123" s="104" t="s">
        <v>762</v>
      </c>
      <c r="C123" s="217">
        <v>3000</v>
      </c>
      <c r="E123" s="104" t="s">
        <v>640</v>
      </c>
      <c r="F123" s="67"/>
    </row>
    <row r="124" spans="2:12" ht="17" x14ac:dyDescent="0.2">
      <c r="B124" s="222" t="s">
        <v>76</v>
      </c>
      <c r="C124" s="194" t="s">
        <v>90</v>
      </c>
      <c r="E124" s="222" t="s">
        <v>76</v>
      </c>
      <c r="F124" s="102"/>
    </row>
    <row r="125" spans="2:12" ht="17" x14ac:dyDescent="0.2">
      <c r="B125" s="222" t="s">
        <v>651</v>
      </c>
      <c r="C125" s="194"/>
      <c r="E125" s="222" t="s">
        <v>651</v>
      </c>
      <c r="F125" s="194"/>
    </row>
    <row r="126" spans="2:12" ht="17" x14ac:dyDescent="0.2">
      <c r="B126" s="222" t="s">
        <v>215</v>
      </c>
      <c r="C126" s="190">
        <v>7</v>
      </c>
      <c r="E126" s="222" t="s">
        <v>215</v>
      </c>
      <c r="F126" s="67"/>
    </row>
    <row r="127" spans="2:12" ht="17" x14ac:dyDescent="0.2">
      <c r="B127" s="222" t="s">
        <v>78</v>
      </c>
      <c r="C127" s="194" t="s">
        <v>163</v>
      </c>
      <c r="E127" s="222" t="s">
        <v>78</v>
      </c>
      <c r="F127" s="102"/>
    </row>
    <row r="128" spans="2:12" ht="18" thickBot="1" x14ac:dyDescent="0.25">
      <c r="B128" s="106" t="s">
        <v>83</v>
      </c>
      <c r="C128" s="219" t="s">
        <v>160</v>
      </c>
      <c r="E128" s="106" t="s">
        <v>83</v>
      </c>
      <c r="F128" s="102"/>
    </row>
    <row r="129" spans="2:6" ht="17" thickBot="1" x14ac:dyDescent="0.25">
      <c r="C129" s="11"/>
      <c r="E129" s="123"/>
      <c r="F129" s="124"/>
    </row>
    <row r="130" spans="2:6" ht="17" thickBot="1" x14ac:dyDescent="0.25">
      <c r="B130" s="453" t="s">
        <v>345</v>
      </c>
      <c r="C130" s="454"/>
      <c r="E130" s="453" t="s">
        <v>421</v>
      </c>
      <c r="F130" s="454"/>
    </row>
    <row r="131" spans="2:6" ht="17" x14ac:dyDescent="0.2">
      <c r="B131" s="103" t="s">
        <v>79</v>
      </c>
      <c r="C131" s="190"/>
      <c r="E131" s="103" t="s">
        <v>79</v>
      </c>
      <c r="F131" s="67"/>
    </row>
    <row r="132" spans="2:6" ht="17" x14ac:dyDescent="0.2">
      <c r="B132" s="104" t="s">
        <v>70</v>
      </c>
      <c r="C132" s="190"/>
      <c r="E132" s="104" t="s">
        <v>70</v>
      </c>
      <c r="F132" s="67"/>
    </row>
    <row r="133" spans="2:6" ht="17" x14ac:dyDescent="0.2">
      <c r="B133" s="104" t="s">
        <v>75</v>
      </c>
      <c r="C133" s="190"/>
      <c r="E133" s="104" t="s">
        <v>75</v>
      </c>
      <c r="F133" s="67"/>
    </row>
    <row r="134" spans="2:6" ht="17" x14ac:dyDescent="0.2">
      <c r="B134" s="105" t="s">
        <v>80</v>
      </c>
      <c r="C134" s="190"/>
      <c r="E134" s="105" t="s">
        <v>80</v>
      </c>
      <c r="F134" s="67"/>
    </row>
    <row r="135" spans="2:6" ht="17" x14ac:dyDescent="0.2">
      <c r="B135" s="104" t="s">
        <v>82</v>
      </c>
      <c r="C135" s="194"/>
      <c r="E135" s="104" t="s">
        <v>82</v>
      </c>
      <c r="F135" s="102"/>
    </row>
    <row r="136" spans="2:6" ht="17" x14ac:dyDescent="0.2">
      <c r="B136" s="104" t="s">
        <v>763</v>
      </c>
      <c r="C136" s="190"/>
      <c r="E136" s="104" t="s">
        <v>641</v>
      </c>
      <c r="F136" s="67"/>
    </row>
    <row r="137" spans="2:6" ht="17" x14ac:dyDescent="0.2">
      <c r="B137" s="222" t="s">
        <v>76</v>
      </c>
      <c r="C137" s="194"/>
      <c r="E137" s="222" t="s">
        <v>76</v>
      </c>
      <c r="F137" s="102"/>
    </row>
    <row r="138" spans="2:6" ht="17" x14ac:dyDescent="0.2">
      <c r="B138" s="222" t="s">
        <v>651</v>
      </c>
      <c r="C138" s="194"/>
      <c r="E138" s="222" t="s">
        <v>651</v>
      </c>
      <c r="F138" s="194"/>
    </row>
    <row r="139" spans="2:6" ht="17" x14ac:dyDescent="0.2">
      <c r="B139" s="119" t="s">
        <v>84</v>
      </c>
      <c r="C139" s="194"/>
      <c r="E139" s="222" t="s">
        <v>84</v>
      </c>
      <c r="F139" s="102"/>
    </row>
    <row r="140" spans="2:6" ht="17" x14ac:dyDescent="0.2">
      <c r="B140" s="118" t="s">
        <v>215</v>
      </c>
      <c r="C140" s="190"/>
      <c r="E140" s="118" t="s">
        <v>215</v>
      </c>
      <c r="F140" s="67"/>
    </row>
    <row r="141" spans="2:6" ht="18" thickBot="1" x14ac:dyDescent="0.25">
      <c r="B141" s="106" t="s">
        <v>85</v>
      </c>
      <c r="C141" s="194"/>
      <c r="E141" s="106" t="s">
        <v>85</v>
      </c>
      <c r="F141" s="120"/>
    </row>
    <row r="142" spans="2:6" ht="17" thickBot="1" x14ac:dyDescent="0.25">
      <c r="C142" s="11"/>
    </row>
    <row r="143" spans="2:6" ht="17" thickBot="1" x14ac:dyDescent="0.25">
      <c r="B143" s="455" t="s">
        <v>443</v>
      </c>
      <c r="C143" s="456"/>
    </row>
    <row r="144" spans="2:6" ht="17" x14ac:dyDescent="0.2">
      <c r="B144" s="103" t="s">
        <v>91</v>
      </c>
      <c r="C144" s="203"/>
    </row>
    <row r="145" spans="2:3" ht="17" x14ac:dyDescent="0.2">
      <c r="B145" s="119" t="s">
        <v>70</v>
      </c>
      <c r="C145" s="220"/>
    </row>
    <row r="146" spans="2:3" ht="17" x14ac:dyDescent="0.2">
      <c r="B146" s="119" t="s">
        <v>75</v>
      </c>
      <c r="C146" s="190"/>
    </row>
    <row r="147" spans="2:3" ht="17" x14ac:dyDescent="0.2">
      <c r="B147" s="119" t="s">
        <v>93</v>
      </c>
      <c r="C147" s="194"/>
    </row>
    <row r="148" spans="2:3" ht="17" x14ac:dyDescent="0.2">
      <c r="B148" s="119" t="s">
        <v>92</v>
      </c>
      <c r="C148" s="190"/>
    </row>
    <row r="149" spans="2:3" ht="17" x14ac:dyDescent="0.2">
      <c r="B149" s="119" t="s">
        <v>94</v>
      </c>
      <c r="C149" s="194"/>
    </row>
    <row r="150" spans="2:3" ht="18" thickBot="1" x14ac:dyDescent="0.25">
      <c r="B150" s="121" t="s">
        <v>95</v>
      </c>
      <c r="C150" s="221"/>
    </row>
  </sheetData>
  <mergeCells count="20">
    <mergeCell ref="H74:I74"/>
    <mergeCell ref="H89:I89"/>
    <mergeCell ref="B1:C1"/>
    <mergeCell ref="B3:C3"/>
    <mergeCell ref="B117:C117"/>
    <mergeCell ref="B24:C24"/>
    <mergeCell ref="E97:F97"/>
    <mergeCell ref="E117:F117"/>
    <mergeCell ref="B143:C143"/>
    <mergeCell ref="B44:C44"/>
    <mergeCell ref="B57:C57"/>
    <mergeCell ref="B74:C74"/>
    <mergeCell ref="B97:C97"/>
    <mergeCell ref="E130:F130"/>
    <mergeCell ref="E74:F74"/>
    <mergeCell ref="B83:C83"/>
    <mergeCell ref="E83:F83"/>
    <mergeCell ref="B89:C89"/>
    <mergeCell ref="E89:F89"/>
    <mergeCell ref="B130:C130"/>
  </mergeCells>
  <conditionalFormatting sqref="C7">
    <cfRule type="cellIs" dxfId="8" priority="3" operator="greaterThan">
      <formula>76</formula>
    </cfRule>
  </conditionalFormatting>
  <conditionalFormatting sqref="C69:C70">
    <cfRule type="cellIs" dxfId="7" priority="1" operator="greaterThan">
      <formula>200000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6">
        <x14:dataValidation type="list" allowBlank="1" showInputMessage="1" showErrorMessage="1" xr:uid="{D05CCC7F-C6D0-6A4C-874C-EAFD4FADAF50}">
          <x14:formula1>
            <xm:f>Lists!$B$10:$B$11</xm:f>
          </x14:formula1>
          <xm:sqref>C5 C26</xm:sqref>
        </x14:dataValidation>
        <x14:dataValidation type="list" allowBlank="1" showInputMessage="1" showErrorMessage="1" xr:uid="{6B1FEBA6-1217-6141-AAF7-DEC931FDBDD7}">
          <x14:formula1>
            <xm:f>Lists!$B$13:$B$14</xm:f>
          </x14:formula1>
          <xm:sqref>C8:D8 C28</xm:sqref>
        </x14:dataValidation>
        <x14:dataValidation type="list" allowBlank="1" showInputMessage="1" showErrorMessage="1" xr:uid="{C5A20EB7-4CA5-054C-9949-85FFD591761B}">
          <x14:formula1>
            <xm:f>Lists!$B$16:$B$19</xm:f>
          </x14:formula1>
          <xm:sqref>C9:D9 C29</xm:sqref>
        </x14:dataValidation>
        <x14:dataValidation type="list" allowBlank="1" showInputMessage="1" showErrorMessage="1" xr:uid="{7FC07FD9-F96E-9F45-ACA5-A71439C4A0E3}">
          <x14:formula1>
            <xm:f>Lists!$B$21:$B$23</xm:f>
          </x14:formula1>
          <xm:sqref>C51:D51 D14:D15 C14</xm:sqref>
        </x14:dataValidation>
        <x14:dataValidation type="list" allowBlank="1" showInputMessage="1" showErrorMessage="1" xr:uid="{579C15A6-3247-6C48-AD94-D653E884B3CC}">
          <x14:formula1>
            <xm:f>Lists!$B$25:$B$27</xm:f>
          </x14:formula1>
          <xm:sqref>D46:D47 C46</xm:sqref>
        </x14:dataValidation>
        <x14:dataValidation type="list" allowBlank="1" showInputMessage="1" showErrorMessage="1" xr:uid="{A18541A4-6877-A348-B338-633EE27C0D7F}">
          <x14:formula1>
            <xm:f>Lists!$B$2:$B$4</xm:f>
          </x14:formula1>
          <xm:sqref>L105:L107 L111:L113</xm:sqref>
        </x14:dataValidation>
        <x14:dataValidation type="list" allowBlank="1" showInputMessage="1" showErrorMessage="1" xr:uid="{B2927C64-7AD0-9C49-9EEF-F05DE0562F30}">
          <x14:formula1>
            <xm:f>Lists!$B$47:$B$50</xm:f>
          </x14:formula1>
          <xm:sqref>F124 F137 C124 C137</xm:sqref>
        </x14:dataValidation>
        <x14:dataValidation type="list" allowBlank="1" showInputMessage="1" showErrorMessage="1" xr:uid="{B4FB2530-8343-E849-A84B-C13422FD7CC0}">
          <x14:formula1>
            <xm:f>Lists!$B$75:$B$77</xm:f>
          </x14:formula1>
          <xm:sqref>C149 C41</xm:sqref>
        </x14:dataValidation>
        <x14:dataValidation type="list" allowBlank="1" showInputMessage="1" showErrorMessage="1" xr:uid="{0E420E2C-9898-0646-96F0-D5D08B94BE61}">
          <x14:formula1>
            <xm:f>Lists!$B$29:$B$35</xm:f>
          </x14:formula1>
          <xm:sqref>C121 F135 F121 C135</xm:sqref>
        </x14:dataValidation>
        <x14:dataValidation type="list" allowBlank="1" showInputMessage="1" showErrorMessage="1" xr:uid="{C16A6CF5-E61A-EF41-AD97-F23A4AB79F59}">
          <x14:formula1>
            <xm:f>Lists!$B$52:$B$55</xm:f>
          </x14:formula1>
          <xm:sqref>C150 F141 F128 C128 C141</xm:sqref>
        </x14:dataValidation>
        <x14:dataValidation type="list" allowBlank="1" showInputMessage="1" showErrorMessage="1" xr:uid="{7CCB9959-0E4B-1A4B-A5F0-D1669F3FBD42}">
          <x14:formula1>
            <xm:f>Lists!$B$57:$B$62</xm:f>
          </x14:formula1>
          <xm:sqref>C127 F127</xm:sqref>
        </x14:dataValidation>
        <x14:dataValidation type="list" allowBlank="1" showInputMessage="1" showErrorMessage="1" xr:uid="{8F5B250B-0517-D549-937E-F2DCC0A2A348}">
          <x14:formula1>
            <xm:f>Lists!$B$64:$B$67</xm:f>
          </x14:formula1>
          <xm:sqref>C139 F139</xm:sqref>
        </x14:dataValidation>
        <x14:dataValidation type="list" allowBlank="1" showInputMessage="1" showErrorMessage="1" xr:uid="{07C467DF-D835-2444-9674-F878B599A71B}">
          <x14:formula1>
            <xm:f>Lists!$B$69:$B$73</xm:f>
          </x14:formula1>
          <xm:sqref>C147</xm:sqref>
        </x14:dataValidation>
        <x14:dataValidation type="list" allowBlank="1" showInputMessage="1" showErrorMessage="1" xr:uid="{B9D75475-B439-4A40-B462-1105FB9848B5}">
          <x14:formula1>
            <xm:f>Lists!$B$79:$B$84</xm:f>
          </x14:formula1>
          <xm:sqref>C48 C32</xm:sqref>
        </x14:dataValidation>
        <x14:dataValidation type="list" allowBlank="1" showInputMessage="1" showErrorMessage="1" xr:uid="{88A10C75-1960-FC4E-BF05-802010F744DF}">
          <x14:formula1>
            <xm:f>Lists!$B$99:$B$101</xm:f>
          </x14:formula1>
          <xm:sqref>C31</xm:sqref>
        </x14:dataValidation>
        <x14:dataValidation type="list" allowBlank="1" showInputMessage="1" showErrorMessage="1" xr:uid="{0AB72D17-E21A-2F43-B52D-31443FADE24E}">
          <x14:formula1>
            <xm:f>Lists!$B$86:$B$96</xm:f>
          </x14:formula1>
          <xm:sqref>C30</xm:sqref>
        </x14:dataValidation>
        <x14:dataValidation type="list" allowBlank="1" showInputMessage="1" showErrorMessage="1" xr:uid="{C13AE69D-FE06-D241-83C8-F20AB8B7C6C0}">
          <x14:formula1>
            <xm:f>Lists!$B$37:$B$39</xm:f>
          </x14:formula1>
          <xm:sqref>C63</xm:sqref>
        </x14:dataValidation>
        <x14:dataValidation type="list" allowBlank="1" showInputMessage="1" showErrorMessage="1" xr:uid="{456B15A4-6361-E544-A480-FBBA9D0C5D42}">
          <x14:formula1>
            <xm:f>Lists!$B$106:$B$109</xm:f>
          </x14:formula1>
          <xm:sqref>C76 I76 F76</xm:sqref>
        </x14:dataValidation>
        <x14:dataValidation type="list" allowBlank="1" showInputMessage="1" showErrorMessage="1" xr:uid="{69C89D31-1752-444A-B99E-FFEE23247253}">
          <x14:formula1>
            <xm:f>Lists!$B$111:$B$114</xm:f>
          </x14:formula1>
          <xm:sqref>C77 I77 F77</xm:sqref>
        </x14:dataValidation>
        <x14:dataValidation type="list" allowBlank="1" showInputMessage="1" showErrorMessage="1" xr:uid="{CEF75786-3F9D-D34C-A14D-746D15BB2647}">
          <x14:formula1>
            <xm:f>Lists!$B$116:$B$120</xm:f>
          </x14:formula1>
          <xm:sqref>C78 F78 I78</xm:sqref>
        </x14:dataValidation>
        <x14:dataValidation type="list" allowBlank="1" showInputMessage="1" showErrorMessage="1" xr:uid="{F6AE056A-1B9E-6E4D-B016-6589B10E3BFD}">
          <x14:formula1>
            <xm:f>Lists!$B$122:$B$126</xm:f>
          </x14:formula1>
          <xm:sqref>C86 F86 F93 C93 C100 F100 I93</xm:sqref>
        </x14:dataValidation>
        <x14:dataValidation type="list" allowBlank="1" showInputMessage="1" showErrorMessage="1" xr:uid="{F5784F12-DA01-2447-BB67-7476F3EE2443}">
          <x14:formula1>
            <xm:f>Lists!$B$2:$B$5</xm:f>
          </x14:formula1>
          <xm:sqref>C12 C17:C22</xm:sqref>
        </x14:dataValidation>
        <x14:dataValidation type="list" allowBlank="1" showInputMessage="1" showErrorMessage="1" xr:uid="{6F46C2A2-6352-2249-9B88-6378C7044288}">
          <x14:formula1>
            <xm:f>Lists!$B$128:$B$130</xm:f>
          </x14:formula1>
          <xm:sqref>C85 F85</xm:sqref>
        </x14:dataValidation>
        <x14:dataValidation type="list" allowBlank="1" showInputMessage="1" showErrorMessage="1" xr:uid="{B046ABEA-87D0-5146-BDC4-B0DCD139B42E}">
          <x14:formula1>
            <xm:f>Lists!$B$132:$B$134</xm:f>
          </x14:formula1>
          <xm:sqref>C99 F99</xm:sqref>
        </x14:dataValidation>
        <x14:dataValidation type="list" allowBlank="1" showInputMessage="1" showErrorMessage="1" xr:uid="{F675E387-FB64-AF48-86DC-4109323C8F8F}">
          <x14:formula1>
            <xm:f>Lists!$B$144:$B$146</xm:f>
          </x14:formula1>
          <xm:sqref>C125 F138 C138 F125</xm:sqref>
        </x14:dataValidation>
        <x14:dataValidation type="list" allowBlank="1" showInputMessage="1" showErrorMessage="1" xr:uid="{889E0878-7EB9-6941-972D-3986717088CC}">
          <x14:formula1>
            <xm:f>Lists!$B$148:$B$149</xm:f>
          </x14:formula1>
          <xm:sqref>C58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A4EB0-5776-7D4D-A9A9-6FE48355E1F4}">
  <sheetPr codeName="Sheet3">
    <tabColor theme="4"/>
  </sheetPr>
  <dimension ref="A1:K149"/>
  <sheetViews>
    <sheetView topLeftCell="B85" zoomScale="120" zoomScaleNormal="120" workbookViewId="0">
      <selection activeCell="E112" sqref="E112"/>
    </sheetView>
  </sheetViews>
  <sheetFormatPr baseColWidth="10" defaultColWidth="11.5" defaultRowHeight="16" x14ac:dyDescent="0.2"/>
  <cols>
    <col min="1" max="1" width="4" customWidth="1"/>
    <col min="2" max="2" width="40.5" style="6" bestFit="1" customWidth="1"/>
    <col min="3" max="3" width="46.6640625" style="7" customWidth="1"/>
    <col min="4" max="4" width="47.6640625" style="7" bestFit="1" customWidth="1"/>
    <col min="5" max="5" width="20.83203125" bestFit="1" customWidth="1"/>
    <col min="6" max="6" width="13" bestFit="1" customWidth="1"/>
    <col min="7" max="7" width="15.5" bestFit="1" customWidth="1"/>
    <col min="8" max="8" width="13.1640625" style="7" bestFit="1" customWidth="1"/>
    <col min="9" max="9" width="22.1640625" bestFit="1" customWidth="1"/>
    <col min="10" max="10" width="18.83203125" bestFit="1" customWidth="1"/>
    <col min="11" max="11" width="14.5" style="6" customWidth="1"/>
    <col min="12" max="12" width="14.5" customWidth="1"/>
  </cols>
  <sheetData>
    <row r="1" spans="2:4" ht="22" customHeight="1" x14ac:dyDescent="0.2">
      <c r="B1" s="459" t="s">
        <v>226</v>
      </c>
      <c r="C1" s="459"/>
      <c r="D1" s="16"/>
    </row>
    <row r="2" spans="2:4" ht="14" customHeight="1" thickBot="1" x14ac:dyDescent="0.25">
      <c r="B2" s="8"/>
    </row>
    <row r="3" spans="2:4" ht="14" customHeight="1" thickBot="1" x14ac:dyDescent="0.25">
      <c r="B3" s="453" t="s">
        <v>153</v>
      </c>
      <c r="C3" s="465"/>
      <c r="D3" s="31"/>
    </row>
    <row r="4" spans="2:4" ht="14" customHeight="1" x14ac:dyDescent="0.2">
      <c r="B4" s="125" t="s">
        <v>150</v>
      </c>
      <c r="C4" s="125"/>
      <c r="D4" s="126" t="s">
        <v>445</v>
      </c>
    </row>
    <row r="5" spans="2:4" ht="14" customHeight="1" x14ac:dyDescent="0.2">
      <c r="B5" s="125"/>
      <c r="C5" s="125" t="s">
        <v>68</v>
      </c>
      <c r="D5" s="440">
        <v>500</v>
      </c>
    </row>
    <row r="6" spans="2:4" ht="14" customHeight="1" x14ac:dyDescent="0.2">
      <c r="B6" s="125"/>
      <c r="C6" s="125" t="s">
        <v>148</v>
      </c>
      <c r="D6" s="440">
        <v>800</v>
      </c>
    </row>
    <row r="7" spans="2:4" ht="14" customHeight="1" x14ac:dyDescent="0.2">
      <c r="B7" s="125"/>
      <c r="C7" s="125" t="s">
        <v>149</v>
      </c>
      <c r="D7" s="440">
        <v>600</v>
      </c>
    </row>
    <row r="8" spans="2:4" ht="14" customHeight="1" x14ac:dyDescent="0.2">
      <c r="B8" s="125" t="s">
        <v>151</v>
      </c>
      <c r="C8" s="125"/>
      <c r="D8" s="440"/>
    </row>
    <row r="9" spans="2:4" ht="14" customHeight="1" x14ac:dyDescent="0.2">
      <c r="B9" s="125"/>
      <c r="C9" s="125" t="s">
        <v>68</v>
      </c>
      <c r="D9" s="440">
        <v>700</v>
      </c>
    </row>
    <row r="10" spans="2:4" ht="14" customHeight="1" x14ac:dyDescent="0.2">
      <c r="B10" s="125"/>
      <c r="C10" s="125" t="s">
        <v>148</v>
      </c>
      <c r="D10" s="440">
        <v>500</v>
      </c>
    </row>
    <row r="11" spans="2:4" ht="14" customHeight="1" x14ac:dyDescent="0.2">
      <c r="B11" s="125"/>
      <c r="C11" s="125" t="s">
        <v>149</v>
      </c>
      <c r="D11" s="440">
        <v>600</v>
      </c>
    </row>
    <row r="12" spans="2:4" ht="14" customHeight="1" x14ac:dyDescent="0.2">
      <c r="B12" s="125" t="s">
        <v>152</v>
      </c>
      <c r="C12" s="125"/>
      <c r="D12" s="440"/>
    </row>
    <row r="13" spans="2:4" ht="14" customHeight="1" x14ac:dyDescent="0.2">
      <c r="B13" s="125"/>
      <c r="C13" s="125" t="s">
        <v>68</v>
      </c>
      <c r="D13" s="440">
        <v>700</v>
      </c>
    </row>
    <row r="14" spans="2:4" ht="14" customHeight="1" x14ac:dyDescent="0.2">
      <c r="B14" s="125"/>
      <c r="C14" s="125" t="s">
        <v>148</v>
      </c>
      <c r="D14" s="440">
        <v>600</v>
      </c>
    </row>
    <row r="15" spans="2:4" ht="14" customHeight="1" x14ac:dyDescent="0.2">
      <c r="B15" s="125"/>
      <c r="C15" s="125" t="s">
        <v>149</v>
      </c>
      <c r="D15" s="440">
        <v>500</v>
      </c>
    </row>
    <row r="16" spans="2:4" ht="14" customHeight="1" x14ac:dyDescent="0.2">
      <c r="C16" s="16" t="s">
        <v>199</v>
      </c>
      <c r="D16" s="43">
        <f>AVERAGEIF(D5:D15, "&gt;0")</f>
        <v>611.11111111111109</v>
      </c>
    </row>
    <row r="17" spans="2:4" ht="14" customHeight="1" thickBot="1" x14ac:dyDescent="0.25">
      <c r="B17" s="8"/>
    </row>
    <row r="18" spans="2:4" ht="14" customHeight="1" thickBot="1" x14ac:dyDescent="0.25">
      <c r="B18" s="453" t="s">
        <v>154</v>
      </c>
      <c r="C18" s="465"/>
      <c r="D18" s="31"/>
    </row>
    <row r="19" spans="2:4" ht="14" customHeight="1" x14ac:dyDescent="0.2">
      <c r="B19" s="125" t="s">
        <v>150</v>
      </c>
      <c r="C19" s="125"/>
      <c r="D19" s="126" t="s">
        <v>445</v>
      </c>
    </row>
    <row r="20" spans="2:4" ht="14" customHeight="1" x14ac:dyDescent="0.2">
      <c r="B20" s="125"/>
      <c r="C20" s="125" t="s">
        <v>68</v>
      </c>
      <c r="D20" s="440">
        <v>300</v>
      </c>
    </row>
    <row r="21" spans="2:4" ht="14" customHeight="1" x14ac:dyDescent="0.2">
      <c r="B21" s="125"/>
      <c r="C21" s="125" t="s">
        <v>148</v>
      </c>
      <c r="D21" s="440">
        <v>400</v>
      </c>
    </row>
    <row r="22" spans="2:4" ht="14" customHeight="1" x14ac:dyDescent="0.2">
      <c r="B22" s="125"/>
      <c r="C22" s="125" t="s">
        <v>149</v>
      </c>
      <c r="D22" s="440">
        <v>300</v>
      </c>
    </row>
    <row r="23" spans="2:4" ht="14" customHeight="1" x14ac:dyDescent="0.2">
      <c r="B23" s="125" t="s">
        <v>151</v>
      </c>
      <c r="C23" s="125"/>
      <c r="D23" s="440"/>
    </row>
    <row r="24" spans="2:4" ht="14" customHeight="1" x14ac:dyDescent="0.2">
      <c r="B24" s="125"/>
      <c r="C24" s="125" t="s">
        <v>68</v>
      </c>
      <c r="D24" s="440">
        <v>300</v>
      </c>
    </row>
    <row r="25" spans="2:4" ht="14" customHeight="1" x14ac:dyDescent="0.2">
      <c r="B25" s="125"/>
      <c r="C25" s="125" t="s">
        <v>148</v>
      </c>
      <c r="D25" s="440">
        <v>200</v>
      </c>
    </row>
    <row r="26" spans="2:4" ht="14" customHeight="1" x14ac:dyDescent="0.2">
      <c r="B26" s="125"/>
      <c r="C26" s="125" t="s">
        <v>149</v>
      </c>
      <c r="D26" s="440">
        <v>400</v>
      </c>
    </row>
    <row r="27" spans="2:4" ht="14" customHeight="1" x14ac:dyDescent="0.2">
      <c r="B27" s="125" t="s">
        <v>152</v>
      </c>
      <c r="C27" s="125"/>
      <c r="D27" s="440"/>
    </row>
    <row r="28" spans="2:4" ht="14" customHeight="1" x14ac:dyDescent="0.2">
      <c r="B28" s="125"/>
      <c r="C28" s="125" t="s">
        <v>68</v>
      </c>
      <c r="D28" s="440">
        <v>500</v>
      </c>
    </row>
    <row r="29" spans="2:4" ht="14" customHeight="1" x14ac:dyDescent="0.2">
      <c r="B29" s="125"/>
      <c r="C29" s="125" t="s">
        <v>148</v>
      </c>
      <c r="D29" s="440">
        <v>400</v>
      </c>
    </row>
    <row r="30" spans="2:4" ht="14" customHeight="1" x14ac:dyDescent="0.2">
      <c r="B30" s="125"/>
      <c r="C30" s="125" t="s">
        <v>149</v>
      </c>
      <c r="D30" s="440">
        <v>300</v>
      </c>
    </row>
    <row r="31" spans="2:4" ht="14" customHeight="1" x14ac:dyDescent="0.2">
      <c r="B31"/>
      <c r="C31" s="16" t="s">
        <v>200</v>
      </c>
      <c r="D31" s="43">
        <f>AVERAGEIF(D20:D30, "&gt;0")</f>
        <v>344.44444444444446</v>
      </c>
    </row>
    <row r="32" spans="2:4" ht="14" customHeight="1" thickBot="1" x14ac:dyDescent="0.25">
      <c r="B32" s="8"/>
    </row>
    <row r="33" spans="2:4" ht="14" customHeight="1" x14ac:dyDescent="0.2">
      <c r="B33" s="466" t="s">
        <v>155</v>
      </c>
      <c r="C33" s="467"/>
      <c r="D33" s="32"/>
    </row>
    <row r="34" spans="2:4" ht="14" customHeight="1" x14ac:dyDescent="0.2">
      <c r="B34" s="125" t="s">
        <v>150</v>
      </c>
      <c r="C34" s="127"/>
      <c r="D34" s="130" t="s">
        <v>446</v>
      </c>
    </row>
    <row r="35" spans="2:4" ht="14" customHeight="1" x14ac:dyDescent="0.2">
      <c r="B35" s="125"/>
      <c r="C35" s="127" t="s">
        <v>68</v>
      </c>
      <c r="D35" s="440">
        <v>200</v>
      </c>
    </row>
    <row r="36" spans="2:4" ht="14" customHeight="1" x14ac:dyDescent="0.2">
      <c r="B36" s="125"/>
      <c r="C36" s="127" t="s">
        <v>148</v>
      </c>
      <c r="D36" s="440">
        <v>300</v>
      </c>
    </row>
    <row r="37" spans="2:4" ht="14" customHeight="1" x14ac:dyDescent="0.2">
      <c r="B37" s="125"/>
      <c r="C37" s="127" t="s">
        <v>149</v>
      </c>
      <c r="D37" s="440">
        <v>400</v>
      </c>
    </row>
    <row r="38" spans="2:4" ht="14" customHeight="1" x14ac:dyDescent="0.2">
      <c r="B38" s="125" t="s">
        <v>151</v>
      </c>
      <c r="C38" s="127"/>
      <c r="D38" s="440"/>
    </row>
    <row r="39" spans="2:4" ht="14" customHeight="1" x14ac:dyDescent="0.2">
      <c r="B39" s="125"/>
      <c r="C39" s="127" t="s">
        <v>68</v>
      </c>
      <c r="D39" s="440">
        <v>500</v>
      </c>
    </row>
    <row r="40" spans="2:4" ht="14" customHeight="1" x14ac:dyDescent="0.2">
      <c r="B40" s="125"/>
      <c r="C40" s="127" t="s">
        <v>148</v>
      </c>
      <c r="D40" s="440">
        <v>400</v>
      </c>
    </row>
    <row r="41" spans="2:4" ht="14" customHeight="1" x14ac:dyDescent="0.2">
      <c r="B41" s="125"/>
      <c r="C41" s="127" t="s">
        <v>149</v>
      </c>
      <c r="D41" s="440">
        <v>300</v>
      </c>
    </row>
    <row r="42" spans="2:4" ht="14" customHeight="1" x14ac:dyDescent="0.2">
      <c r="B42" s="125" t="s">
        <v>152</v>
      </c>
      <c r="C42" s="127"/>
      <c r="D42" s="440"/>
    </row>
    <row r="43" spans="2:4" ht="14" customHeight="1" x14ac:dyDescent="0.2">
      <c r="B43" s="125"/>
      <c r="C43" s="127" t="s">
        <v>68</v>
      </c>
      <c r="D43" s="440">
        <v>300</v>
      </c>
    </row>
    <row r="44" spans="2:4" ht="14" customHeight="1" x14ac:dyDescent="0.2">
      <c r="B44" s="125"/>
      <c r="C44" s="127" t="s">
        <v>148</v>
      </c>
      <c r="D44" s="440">
        <v>500</v>
      </c>
    </row>
    <row r="45" spans="2:4" ht="14" customHeight="1" x14ac:dyDescent="0.2">
      <c r="B45" s="125"/>
      <c r="C45" s="127" t="s">
        <v>149</v>
      </c>
      <c r="D45" s="440">
        <v>600</v>
      </c>
    </row>
    <row r="46" spans="2:4" ht="14" customHeight="1" x14ac:dyDescent="0.2">
      <c r="B46" s="125" t="s">
        <v>156</v>
      </c>
      <c r="C46" s="127"/>
      <c r="D46" s="440"/>
    </row>
    <row r="47" spans="2:4" ht="14" customHeight="1" x14ac:dyDescent="0.2">
      <c r="B47" s="125"/>
      <c r="C47" s="127" t="s">
        <v>68</v>
      </c>
      <c r="D47" s="440">
        <v>500</v>
      </c>
    </row>
    <row r="48" spans="2:4" ht="14" customHeight="1" x14ac:dyDescent="0.2">
      <c r="B48" s="125"/>
      <c r="C48" s="127" t="s">
        <v>148</v>
      </c>
      <c r="D48" s="440">
        <v>600</v>
      </c>
    </row>
    <row r="49" spans="2:11" ht="14" customHeight="1" x14ac:dyDescent="0.2">
      <c r="B49" s="125"/>
      <c r="C49" s="127" t="s">
        <v>149</v>
      </c>
      <c r="D49" s="440">
        <v>300</v>
      </c>
    </row>
    <row r="50" spans="2:11" ht="14" customHeight="1" x14ac:dyDescent="0.2">
      <c r="B50" s="125" t="s">
        <v>157</v>
      </c>
      <c r="C50" s="127"/>
      <c r="D50" s="440"/>
    </row>
    <row r="51" spans="2:11" ht="14" customHeight="1" x14ac:dyDescent="0.2">
      <c r="B51" s="125"/>
      <c r="C51" s="127" t="s">
        <v>68</v>
      </c>
      <c r="D51" s="440">
        <v>400</v>
      </c>
    </row>
    <row r="52" spans="2:11" ht="14" customHeight="1" x14ac:dyDescent="0.2">
      <c r="B52" s="125"/>
      <c r="C52" s="127" t="s">
        <v>148</v>
      </c>
      <c r="D52" s="440">
        <v>300</v>
      </c>
    </row>
    <row r="53" spans="2:11" ht="14" customHeight="1" x14ac:dyDescent="0.2">
      <c r="B53" s="125"/>
      <c r="C53" s="127" t="s">
        <v>149</v>
      </c>
      <c r="D53" s="440">
        <v>200</v>
      </c>
    </row>
    <row r="54" spans="2:11" ht="14" customHeight="1" x14ac:dyDescent="0.2">
      <c r="B54" s="125" t="s">
        <v>158</v>
      </c>
      <c r="C54" s="127"/>
      <c r="D54" s="440"/>
    </row>
    <row r="55" spans="2:11" ht="14" customHeight="1" x14ac:dyDescent="0.2">
      <c r="B55" s="125"/>
      <c r="C55" s="127" t="s">
        <v>68</v>
      </c>
      <c r="D55" s="440">
        <v>600</v>
      </c>
    </row>
    <row r="56" spans="2:11" ht="14" customHeight="1" x14ac:dyDescent="0.2">
      <c r="B56" s="125"/>
      <c r="C56" s="127" t="s">
        <v>148</v>
      </c>
      <c r="D56" s="440">
        <v>500</v>
      </c>
    </row>
    <row r="57" spans="2:11" ht="14" customHeight="1" thickBot="1" x14ac:dyDescent="0.25">
      <c r="B57" s="128"/>
      <c r="C57" s="129" t="s">
        <v>149</v>
      </c>
      <c r="D57" s="440">
        <v>400</v>
      </c>
    </row>
    <row r="58" spans="2:11" ht="14" customHeight="1" x14ac:dyDescent="0.2">
      <c r="B58" s="8"/>
      <c r="C58" s="16" t="s">
        <v>177</v>
      </c>
      <c r="D58" s="43">
        <f>AVERAGEIF(D35:D57, "&gt;0")</f>
        <v>405.55555555555554</v>
      </c>
    </row>
    <row r="59" spans="2:11" ht="14" customHeight="1" thickBot="1" x14ac:dyDescent="0.25">
      <c r="B59" s="8"/>
      <c r="C59" s="16"/>
    </row>
    <row r="60" spans="2:11" ht="17" customHeight="1" thickBot="1" x14ac:dyDescent="0.25">
      <c r="B60" s="30" t="s">
        <v>190</v>
      </c>
    </row>
    <row r="61" spans="2:11" ht="18" thickBot="1" x14ac:dyDescent="0.25">
      <c r="B61" s="111" t="s">
        <v>55</v>
      </c>
      <c r="C61" s="65">
        <v>1</v>
      </c>
      <c r="E61" s="134" t="s">
        <v>447</v>
      </c>
      <c r="K61"/>
    </row>
    <row r="62" spans="2:11" ht="18" customHeight="1" x14ac:dyDescent="0.2">
      <c r="B62" s="125" t="s">
        <v>129</v>
      </c>
      <c r="C62" s="22">
        <v>30</v>
      </c>
      <c r="D62" s="137" t="s">
        <v>446</v>
      </c>
      <c r="E62" s="143"/>
      <c r="K62"/>
    </row>
    <row r="63" spans="2:11" ht="17" x14ac:dyDescent="0.2">
      <c r="B63" s="125" t="s">
        <v>448</v>
      </c>
      <c r="C63" s="61">
        <f>C64/6</f>
        <v>500</v>
      </c>
      <c r="D63" s="138">
        <f>C63*(C62-(C67*C61))</f>
        <v>13000</v>
      </c>
      <c r="E63" s="139"/>
      <c r="K63"/>
    </row>
    <row r="64" spans="2:11" ht="17" x14ac:dyDescent="0.2">
      <c r="B64" s="125" t="s">
        <v>449</v>
      </c>
      <c r="C64" s="61">
        <v>3000</v>
      </c>
      <c r="D64" s="138">
        <f>C64*C67</f>
        <v>12000</v>
      </c>
      <c r="E64" s="139"/>
      <c r="K64"/>
    </row>
    <row r="65" spans="2:11" ht="18" thickBot="1" x14ac:dyDescent="0.25">
      <c r="B65" s="125" t="s">
        <v>450</v>
      </c>
      <c r="C65" s="61">
        <v>10000</v>
      </c>
      <c r="D65" s="135">
        <f>C65*C66</f>
        <v>10000</v>
      </c>
      <c r="E65" s="136">
        <v>0</v>
      </c>
      <c r="K65"/>
    </row>
    <row r="66" spans="2:11" ht="17" x14ac:dyDescent="0.2">
      <c r="B66" s="125" t="s">
        <v>44</v>
      </c>
      <c r="C66" s="23">
        <v>1</v>
      </c>
      <c r="K66"/>
    </row>
    <row r="67" spans="2:11" ht="18" thickBot="1" x14ac:dyDescent="0.25">
      <c r="B67" s="131" t="s">
        <v>60</v>
      </c>
      <c r="C67" s="29">
        <v>4</v>
      </c>
      <c r="K67"/>
    </row>
    <row r="68" spans="2:11" ht="17" x14ac:dyDescent="0.2">
      <c r="B68" s="111" t="s">
        <v>45</v>
      </c>
      <c r="C68" s="113" t="s">
        <v>451</v>
      </c>
      <c r="D68" s="140" t="s">
        <v>46</v>
      </c>
      <c r="E68" s="127" t="s">
        <v>452</v>
      </c>
      <c r="K68"/>
    </row>
    <row r="69" spans="2:11" ht="17" x14ac:dyDescent="0.2">
      <c r="B69" s="125" t="s">
        <v>4</v>
      </c>
      <c r="C69" s="61">
        <v>0</v>
      </c>
      <c r="D69" s="141">
        <v>0</v>
      </c>
      <c r="E69" s="139"/>
      <c r="K69"/>
    </row>
    <row r="70" spans="2:11" ht="17" x14ac:dyDescent="0.2">
      <c r="B70" s="125" t="s">
        <v>6</v>
      </c>
      <c r="C70" s="61">
        <v>20000</v>
      </c>
      <c r="D70" s="141">
        <v>2</v>
      </c>
      <c r="E70" s="139"/>
      <c r="K70"/>
    </row>
    <row r="71" spans="2:11" ht="18" thickBot="1" x14ac:dyDescent="0.25">
      <c r="B71" s="125" t="s">
        <v>130</v>
      </c>
      <c r="C71" s="61">
        <v>10000</v>
      </c>
      <c r="D71" s="142">
        <v>10</v>
      </c>
      <c r="E71" s="136">
        <v>0</v>
      </c>
      <c r="K71"/>
    </row>
    <row r="72" spans="2:11" ht="18" thickBot="1" x14ac:dyDescent="0.25">
      <c r="B72" s="128" t="s">
        <v>66</v>
      </c>
      <c r="C72" s="64">
        <v>0</v>
      </c>
      <c r="D72" s="9">
        <f>IF(SUM(D69:D71)&lt;&gt;12,"ERROR",SUM(D69:D71))</f>
        <v>12</v>
      </c>
      <c r="K72"/>
    </row>
    <row r="73" spans="2:11" ht="17" x14ac:dyDescent="0.2">
      <c r="B73" s="174" t="s">
        <v>385</v>
      </c>
      <c r="C73" s="175">
        <v>0.25</v>
      </c>
      <c r="D73" s="9"/>
      <c r="K73"/>
    </row>
    <row r="74" spans="2:11" ht="17" thickBot="1" x14ac:dyDescent="0.25">
      <c r="B74" s="33"/>
      <c r="C74" s="34"/>
      <c r="D74" s="9"/>
    </row>
    <row r="75" spans="2:11" ht="17" customHeight="1" x14ac:dyDescent="0.2">
      <c r="B75" s="30" t="s">
        <v>14</v>
      </c>
      <c r="C75" s="113" t="s">
        <v>451</v>
      </c>
      <c r="D75" s="137" t="s">
        <v>446</v>
      </c>
      <c r="E75" s="127" t="s">
        <v>451</v>
      </c>
    </row>
    <row r="76" spans="2:11" ht="17" x14ac:dyDescent="0.2">
      <c r="B76" s="125" t="s">
        <v>12</v>
      </c>
      <c r="C76" s="69">
        <f>C77/6</f>
        <v>250</v>
      </c>
      <c r="D76" s="138">
        <f>C76*(C62-(C67*C61))</f>
        <v>6500</v>
      </c>
      <c r="E76" s="139"/>
      <c r="K76"/>
    </row>
    <row r="77" spans="2:11" ht="17" x14ac:dyDescent="0.2">
      <c r="B77" s="125" t="s">
        <v>13</v>
      </c>
      <c r="C77" s="61">
        <v>1500</v>
      </c>
      <c r="D77" s="138">
        <f>C77*C67</f>
        <v>6000</v>
      </c>
      <c r="E77" s="139"/>
      <c r="K77"/>
    </row>
    <row r="78" spans="2:11" ht="18" thickBot="1" x14ac:dyDescent="0.25">
      <c r="B78" s="125" t="s">
        <v>1</v>
      </c>
      <c r="C78" s="61">
        <v>6000</v>
      </c>
      <c r="D78" s="135">
        <f>C78*C66</f>
        <v>6000</v>
      </c>
      <c r="E78" s="136">
        <v>0</v>
      </c>
      <c r="K78"/>
    </row>
    <row r="79" spans="2:11" ht="18" thickBot="1" x14ac:dyDescent="0.25">
      <c r="B79" s="128" t="s">
        <v>67</v>
      </c>
      <c r="C79" s="64">
        <v>1500</v>
      </c>
      <c r="D79" s="9"/>
      <c r="E79" s="136">
        <v>0</v>
      </c>
      <c r="K79"/>
    </row>
    <row r="80" spans="2:11" ht="17" thickBot="1" x14ac:dyDescent="0.25">
      <c r="B80" s="24"/>
      <c r="C80" s="24"/>
      <c r="D80" s="9"/>
    </row>
    <row r="81" spans="2:11" ht="17" x14ac:dyDescent="0.2">
      <c r="B81" s="25" t="s">
        <v>41</v>
      </c>
      <c r="C81" s="132" t="s">
        <v>451</v>
      </c>
      <c r="E81" s="127" t="s">
        <v>451</v>
      </c>
    </row>
    <row r="82" spans="2:11" ht="17" x14ac:dyDescent="0.2">
      <c r="B82" s="125" t="s">
        <v>453</v>
      </c>
      <c r="C82" s="62">
        <v>40000</v>
      </c>
      <c r="E82" s="136">
        <v>0</v>
      </c>
    </row>
    <row r="83" spans="2:11" ht="20" customHeight="1" thickBot="1" x14ac:dyDescent="0.25">
      <c r="B83" s="128" t="s">
        <v>454</v>
      </c>
      <c r="C83" s="70">
        <v>0</v>
      </c>
      <c r="E83" s="136"/>
    </row>
    <row r="84" spans="2:11" ht="17" thickBot="1" x14ac:dyDescent="0.25">
      <c r="E84" s="134" t="s">
        <v>348</v>
      </c>
      <c r="K84"/>
    </row>
    <row r="85" spans="2:11" ht="17" x14ac:dyDescent="0.2">
      <c r="B85" s="25" t="s">
        <v>56</v>
      </c>
      <c r="C85" s="113" t="s">
        <v>451</v>
      </c>
      <c r="E85" s="127" t="s">
        <v>451</v>
      </c>
    </row>
    <row r="86" spans="2:11" ht="17" x14ac:dyDescent="0.2">
      <c r="B86" s="125" t="s">
        <v>131</v>
      </c>
      <c r="C86" s="61">
        <v>800</v>
      </c>
      <c r="E86" s="139"/>
    </row>
    <row r="87" spans="2:11" ht="17" x14ac:dyDescent="0.2">
      <c r="B87" s="125" t="s">
        <v>23</v>
      </c>
      <c r="C87" s="61">
        <v>100</v>
      </c>
      <c r="E87" s="139"/>
    </row>
    <row r="88" spans="2:11" ht="17" x14ac:dyDescent="0.2">
      <c r="B88" s="125" t="s">
        <v>57</v>
      </c>
      <c r="C88" s="61">
        <v>250</v>
      </c>
      <c r="E88" s="139"/>
    </row>
    <row r="89" spans="2:11" ht="17" x14ac:dyDescent="0.2">
      <c r="B89" s="125" t="s">
        <v>133</v>
      </c>
      <c r="C89" s="61">
        <v>25</v>
      </c>
      <c r="E89" s="139"/>
    </row>
    <row r="90" spans="2:11" ht="17" x14ac:dyDescent="0.2">
      <c r="B90" s="125" t="s">
        <v>132</v>
      </c>
      <c r="C90" s="61">
        <v>100</v>
      </c>
      <c r="E90" s="139"/>
    </row>
    <row r="91" spans="2:11" ht="17" x14ac:dyDescent="0.2">
      <c r="B91" s="125" t="s">
        <v>134</v>
      </c>
      <c r="C91" s="61">
        <v>0</v>
      </c>
      <c r="E91" s="139"/>
    </row>
    <row r="92" spans="2:11" ht="17" x14ac:dyDescent="0.2">
      <c r="B92" s="125" t="s">
        <v>135</v>
      </c>
      <c r="C92" s="61">
        <v>0</v>
      </c>
      <c r="E92" s="139"/>
    </row>
    <row r="93" spans="2:11" ht="17" x14ac:dyDescent="0.2">
      <c r="B93" s="125" t="s">
        <v>136</v>
      </c>
      <c r="C93" s="61">
        <v>0</v>
      </c>
      <c r="E93" s="139"/>
    </row>
    <row r="94" spans="2:11" ht="17" x14ac:dyDescent="0.2">
      <c r="B94" s="125" t="s">
        <v>137</v>
      </c>
      <c r="C94" s="61">
        <v>0</v>
      </c>
      <c r="E94" s="139"/>
    </row>
    <row r="95" spans="2:11" ht="17" x14ac:dyDescent="0.2">
      <c r="B95" s="125" t="s">
        <v>138</v>
      </c>
      <c r="C95" s="61">
        <v>0</v>
      </c>
      <c r="E95" s="139"/>
    </row>
    <row r="96" spans="2:11" ht="17" x14ac:dyDescent="0.2">
      <c r="B96" s="125" t="s">
        <v>139</v>
      </c>
      <c r="C96" s="61">
        <v>0</v>
      </c>
      <c r="E96" s="139"/>
    </row>
    <row r="97" spans="2:11" ht="17" x14ac:dyDescent="0.2">
      <c r="B97" s="125" t="s">
        <v>143</v>
      </c>
      <c r="C97" s="61">
        <v>0</v>
      </c>
      <c r="E97" s="139"/>
    </row>
    <row r="98" spans="2:11" ht="17" x14ac:dyDescent="0.2">
      <c r="B98" s="125" t="s">
        <v>140</v>
      </c>
      <c r="C98" s="61">
        <v>0</v>
      </c>
      <c r="E98" s="139"/>
    </row>
    <row r="99" spans="2:11" ht="18" thickBot="1" x14ac:dyDescent="0.25">
      <c r="B99" s="128" t="s">
        <v>227</v>
      </c>
      <c r="C99" s="61">
        <v>0</v>
      </c>
      <c r="E99" s="139"/>
    </row>
    <row r="100" spans="2:11" ht="17" x14ac:dyDescent="0.2">
      <c r="B100" s="28" t="s">
        <v>141</v>
      </c>
      <c r="C100" s="26">
        <f>SUM(C86:C98)+C99</f>
        <v>1275</v>
      </c>
      <c r="D100" s="26">
        <f>SUM(D86:D98)+D99</f>
        <v>0</v>
      </c>
      <c r="E100" s="136">
        <v>0</v>
      </c>
    </row>
    <row r="101" spans="2:11" ht="17" thickBot="1" x14ac:dyDescent="0.25">
      <c r="B101" s="9"/>
    </row>
    <row r="102" spans="2:11" ht="17" x14ac:dyDescent="0.2">
      <c r="B102" s="27" t="s">
        <v>455</v>
      </c>
      <c r="C102" s="126" t="s">
        <v>451</v>
      </c>
    </row>
    <row r="103" spans="2:11" ht="17" x14ac:dyDescent="0.2">
      <c r="B103" s="125" t="s">
        <v>456</v>
      </c>
      <c r="C103" s="61">
        <v>0</v>
      </c>
      <c r="D103" s="71" t="s">
        <v>349</v>
      </c>
    </row>
    <row r="104" spans="2:11" ht="17" x14ac:dyDescent="0.2">
      <c r="B104" s="125" t="s">
        <v>457</v>
      </c>
      <c r="C104" s="61">
        <v>0</v>
      </c>
      <c r="D104" s="71" t="s">
        <v>349</v>
      </c>
    </row>
    <row r="105" spans="2:11" ht="17" x14ac:dyDescent="0.2">
      <c r="B105" s="125" t="s">
        <v>458</v>
      </c>
      <c r="C105" s="61">
        <v>0</v>
      </c>
    </row>
    <row r="106" spans="2:11" ht="17" x14ac:dyDescent="0.2">
      <c r="B106" s="125" t="s">
        <v>459</v>
      </c>
      <c r="C106" s="61">
        <v>0</v>
      </c>
      <c r="D106" s="71" t="s">
        <v>349</v>
      </c>
    </row>
    <row r="107" spans="2:11" ht="35" thickBot="1" x14ac:dyDescent="0.25">
      <c r="B107" s="128" t="s">
        <v>460</v>
      </c>
      <c r="C107" s="61">
        <v>0</v>
      </c>
      <c r="D107" s="71" t="s">
        <v>349</v>
      </c>
    </row>
    <row r="108" spans="2:11" ht="17" x14ac:dyDescent="0.2">
      <c r="B108" s="28" t="s">
        <v>142</v>
      </c>
      <c r="C108" s="26">
        <f>SUM(C103:C107)</f>
        <v>0</v>
      </c>
    </row>
    <row r="109" spans="2:11" ht="17" thickBot="1" x14ac:dyDescent="0.25">
      <c r="B109" s="9"/>
      <c r="K109"/>
    </row>
    <row r="110" spans="2:11" ht="17" thickBot="1" x14ac:dyDescent="0.25">
      <c r="C110"/>
      <c r="E110" s="134" t="s">
        <v>348</v>
      </c>
      <c r="H110"/>
      <c r="K110"/>
    </row>
    <row r="111" spans="2:11" ht="35" thickBot="1" x14ac:dyDescent="0.25">
      <c r="B111" s="125" t="s">
        <v>461</v>
      </c>
      <c r="C111" s="72">
        <v>5000</v>
      </c>
      <c r="E111" s="72">
        <v>0</v>
      </c>
    </row>
    <row r="112" spans="2:11" ht="17" thickBot="1" x14ac:dyDescent="0.25"/>
    <row r="113" spans="1:11" x14ac:dyDescent="0.2">
      <c r="B113" s="468" t="s">
        <v>228</v>
      </c>
      <c r="C113" s="469"/>
      <c r="D113" s="472"/>
      <c r="E113" s="473" t="s">
        <v>210</v>
      </c>
      <c r="F113" s="469"/>
      <c r="G113" s="470"/>
      <c r="K113"/>
    </row>
    <row r="114" spans="1:11" ht="34" x14ac:dyDescent="0.2">
      <c r="B114" s="131" t="s">
        <v>184</v>
      </c>
      <c r="C114" s="131" t="s">
        <v>180</v>
      </c>
      <c r="D114" s="131" t="s">
        <v>346</v>
      </c>
      <c r="E114" s="131" t="s">
        <v>179</v>
      </c>
      <c r="F114" s="131" t="s">
        <v>181</v>
      </c>
      <c r="G114" s="441" t="s">
        <v>178</v>
      </c>
      <c r="K114"/>
    </row>
    <row r="115" spans="1:11" ht="17" x14ac:dyDescent="0.2">
      <c r="A115" s="7">
        <v>1</v>
      </c>
      <c r="B115" s="440" t="s">
        <v>738</v>
      </c>
      <c r="C115" s="440">
        <v>300</v>
      </c>
      <c r="D115" s="440">
        <v>30</v>
      </c>
      <c r="E115" s="440" t="s">
        <v>738</v>
      </c>
      <c r="F115" s="440">
        <v>300</v>
      </c>
      <c r="G115" s="440">
        <v>18</v>
      </c>
      <c r="K115"/>
    </row>
    <row r="116" spans="1:11" ht="17" x14ac:dyDescent="0.2">
      <c r="A116" s="7">
        <v>2</v>
      </c>
      <c r="B116" s="440" t="s">
        <v>739</v>
      </c>
      <c r="C116" s="440">
        <v>50</v>
      </c>
      <c r="D116" s="440">
        <v>15</v>
      </c>
      <c r="E116" s="440" t="s">
        <v>739</v>
      </c>
      <c r="F116" s="440">
        <v>50</v>
      </c>
      <c r="G116" s="440">
        <v>10</v>
      </c>
      <c r="K116"/>
    </row>
    <row r="117" spans="1:11" x14ac:dyDescent="0.2">
      <c r="A117" s="7">
        <v>3</v>
      </c>
      <c r="B117" s="442"/>
      <c r="C117" s="442"/>
      <c r="D117" s="442"/>
      <c r="E117" s="442"/>
      <c r="F117" s="442"/>
      <c r="G117" s="442"/>
      <c r="K117"/>
    </row>
    <row r="118" spans="1:11" x14ac:dyDescent="0.2">
      <c r="A118" s="7">
        <v>4</v>
      </c>
      <c r="B118" s="73"/>
      <c r="C118" s="73"/>
      <c r="D118" s="73"/>
      <c r="E118" s="73"/>
      <c r="F118" s="73"/>
      <c r="G118" s="73"/>
      <c r="K118"/>
    </row>
    <row r="119" spans="1:11" ht="17" thickBot="1" x14ac:dyDescent="0.25">
      <c r="A119" s="7">
        <v>5</v>
      </c>
      <c r="B119" s="73"/>
      <c r="C119" s="73"/>
      <c r="D119" s="73"/>
      <c r="E119" s="73"/>
      <c r="F119" s="73"/>
      <c r="G119" s="73"/>
      <c r="K119"/>
    </row>
    <row r="120" spans="1:11" ht="17" thickBot="1" x14ac:dyDescent="0.25">
      <c r="C120" s="42" t="s">
        <v>182</v>
      </c>
      <c r="D120" s="59">
        <f>IFERROR((SUMPRODUCT(C115:C119,D115:D119)-SUMPRODUCT(F115:F119,G115:G119))/SUMPRODUCT(C115:C119,D115:D119),0)</f>
        <v>0.39487179487179486</v>
      </c>
      <c r="K120"/>
    </row>
    <row r="121" spans="1:11" ht="17" thickBot="1" x14ac:dyDescent="0.25"/>
    <row r="122" spans="1:11" x14ac:dyDescent="0.2">
      <c r="B122" s="474" t="s">
        <v>209</v>
      </c>
      <c r="C122" s="475"/>
      <c r="D122" s="476"/>
      <c r="E122" s="473" t="s">
        <v>211</v>
      </c>
      <c r="F122" s="469"/>
      <c r="G122" s="470"/>
      <c r="K122"/>
    </row>
    <row r="123" spans="1:11" ht="35" thickBot="1" x14ac:dyDescent="0.25">
      <c r="B123" s="128" t="s">
        <v>65</v>
      </c>
      <c r="C123" s="128" t="s">
        <v>180</v>
      </c>
      <c r="D123" s="128" t="s">
        <v>178</v>
      </c>
      <c r="E123" s="128" t="s">
        <v>179</v>
      </c>
      <c r="F123" s="128" t="s">
        <v>181</v>
      </c>
      <c r="G123" s="133" t="s">
        <v>178</v>
      </c>
      <c r="K123"/>
    </row>
    <row r="124" spans="1:11" x14ac:dyDescent="0.2">
      <c r="B124" s="73"/>
      <c r="C124" s="63"/>
      <c r="D124" s="63"/>
      <c r="E124" s="73"/>
      <c r="F124" s="63"/>
      <c r="G124" s="61"/>
      <c r="K124"/>
    </row>
    <row r="125" spans="1:11" x14ac:dyDescent="0.2">
      <c r="B125" s="73"/>
      <c r="C125" s="63"/>
      <c r="D125" s="63"/>
      <c r="E125" s="73"/>
      <c r="F125" s="63"/>
      <c r="G125" s="61"/>
      <c r="K125"/>
    </row>
    <row r="126" spans="1:11" x14ac:dyDescent="0.2">
      <c r="B126" s="73"/>
      <c r="C126" s="63"/>
      <c r="D126" s="63"/>
      <c r="E126" s="73"/>
      <c r="F126" s="63"/>
      <c r="G126" s="61"/>
      <c r="H126" s="7">
        <f>F126*G126</f>
        <v>0</v>
      </c>
      <c r="K126"/>
    </row>
    <row r="127" spans="1:11" x14ac:dyDescent="0.2">
      <c r="B127" s="73"/>
      <c r="C127" s="63"/>
      <c r="D127" s="63"/>
      <c r="E127" s="73"/>
      <c r="F127" s="63"/>
      <c r="G127" s="61"/>
      <c r="K127"/>
    </row>
    <row r="128" spans="1:11" ht="17" thickBot="1" x14ac:dyDescent="0.25">
      <c r="B128" s="74"/>
      <c r="C128" s="75"/>
      <c r="D128" s="75"/>
      <c r="E128" s="74"/>
      <c r="F128" s="75"/>
      <c r="G128" s="64"/>
      <c r="K128"/>
    </row>
    <row r="129" spans="2:11" ht="17" thickBot="1" x14ac:dyDescent="0.25">
      <c r="C129" s="42" t="s">
        <v>182</v>
      </c>
      <c r="D129" s="59">
        <f>IFERROR((SUMPRODUCT(C124:C128,D124:D128)-SUMPRODUCT(F124:F128,G124:G128))/SUMPRODUCT(C124:C128,D124:D128),0)</f>
        <v>0</v>
      </c>
      <c r="E129" s="60">
        <f>C124*D124</f>
        <v>0</v>
      </c>
      <c r="F129">
        <f>SUMPRODUCT(F124:F127,G124:G127)</f>
        <v>0</v>
      </c>
      <c r="G129" s="26">
        <f>E129-F129</f>
        <v>0</v>
      </c>
      <c r="K129"/>
    </row>
    <row r="130" spans="2:11" x14ac:dyDescent="0.2">
      <c r="F130">
        <f>F129/4500</f>
        <v>0</v>
      </c>
    </row>
    <row r="131" spans="2:11" ht="17" customHeight="1" thickBot="1" x14ac:dyDescent="0.25">
      <c r="B131" s="471" t="s">
        <v>192</v>
      </c>
      <c r="C131" s="471"/>
      <c r="D131" s="471"/>
      <c r="E131" s="471"/>
    </row>
    <row r="132" spans="2:11" x14ac:dyDescent="0.2">
      <c r="B132" s="468" t="s">
        <v>183</v>
      </c>
      <c r="C132" s="469"/>
      <c r="D132" s="470"/>
      <c r="E132" s="40" t="s">
        <v>185</v>
      </c>
    </row>
    <row r="133" spans="2:11" ht="35" thickBot="1" x14ac:dyDescent="0.25">
      <c r="B133" s="128" t="s">
        <v>184</v>
      </c>
      <c r="C133" s="128" t="s">
        <v>180</v>
      </c>
      <c r="D133" s="133" t="s">
        <v>201</v>
      </c>
      <c r="E133" s="133" t="s">
        <v>186</v>
      </c>
    </row>
    <row r="134" spans="2:11" x14ac:dyDescent="0.2">
      <c r="B134" s="73"/>
      <c r="C134" s="63"/>
      <c r="D134" s="61"/>
      <c r="E134" s="66"/>
    </row>
    <row r="135" spans="2:11" x14ac:dyDescent="0.2">
      <c r="B135" s="73"/>
      <c r="C135" s="63"/>
      <c r="D135" s="61"/>
      <c r="E135" s="66"/>
    </row>
    <row r="136" spans="2:11" x14ac:dyDescent="0.2">
      <c r="B136" s="73"/>
      <c r="C136" s="63"/>
      <c r="D136" s="61"/>
      <c r="E136" s="66"/>
    </row>
    <row r="137" spans="2:11" x14ac:dyDescent="0.2">
      <c r="B137" s="73"/>
      <c r="C137" s="63"/>
      <c r="D137" s="61"/>
      <c r="E137" s="66"/>
    </row>
    <row r="138" spans="2:11" ht="17" thickBot="1" x14ac:dyDescent="0.25">
      <c r="B138" s="74"/>
      <c r="C138" s="75"/>
      <c r="D138" s="64"/>
      <c r="E138" s="68"/>
    </row>
    <row r="139" spans="2:11" ht="17" thickBot="1" x14ac:dyDescent="0.25">
      <c r="B139"/>
      <c r="C139">
        <f>(C134*D134)+(C135*D135)</f>
        <v>0</v>
      </c>
      <c r="D139" s="41" t="s">
        <v>187</v>
      </c>
      <c r="E139" s="59" t="e">
        <f>(SUMPRODUCT(C134:C138,D134:D138)-SUMPRODUCT(C134:C138,E134:E138))/SUMPRODUCT(C134:C138,D134:D138)</f>
        <v>#DIV/0!</v>
      </c>
    </row>
    <row r="140" spans="2:11" x14ac:dyDescent="0.2">
      <c r="E140" s="7"/>
      <c r="F140" s="7"/>
      <c r="G140" s="7"/>
    </row>
    <row r="141" spans="2:11" x14ac:dyDescent="0.2">
      <c r="B141" s="9"/>
      <c r="C141" s="44"/>
      <c r="E141" s="7"/>
      <c r="F141" s="7"/>
      <c r="G141" s="7"/>
    </row>
    <row r="142" spans="2:11" ht="18" thickBot="1" x14ac:dyDescent="0.25">
      <c r="B142" s="128" t="s">
        <v>29</v>
      </c>
      <c r="C142" s="223">
        <f>IF('Customer Details'!C58="Secured",65%,50%)</f>
        <v>0.65</v>
      </c>
      <c r="E142" s="7"/>
      <c r="F142" s="7"/>
      <c r="G142" s="7"/>
    </row>
    <row r="149" spans="3:3" x14ac:dyDescent="0.2">
      <c r="C149" s="7" t="s">
        <v>216</v>
      </c>
    </row>
  </sheetData>
  <mergeCells count="10">
    <mergeCell ref="B1:C1"/>
    <mergeCell ref="B3:C3"/>
    <mergeCell ref="B18:C18"/>
    <mergeCell ref="B33:C33"/>
    <mergeCell ref="B132:D132"/>
    <mergeCell ref="B131:E131"/>
    <mergeCell ref="B113:D113"/>
    <mergeCell ref="E113:G113"/>
    <mergeCell ref="B122:D122"/>
    <mergeCell ref="E122:G1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D3568-41C1-A74A-9BBD-C5CFF679AE5B}">
  <sheetPr>
    <tabColor rgb="FF002060"/>
  </sheetPr>
  <dimension ref="B1:M78"/>
  <sheetViews>
    <sheetView topLeftCell="B42" zoomScale="110" zoomScaleNormal="110" workbookViewId="0">
      <selection activeCell="E59" sqref="E59"/>
    </sheetView>
  </sheetViews>
  <sheetFormatPr baseColWidth="10" defaultColWidth="11.5" defaultRowHeight="16" x14ac:dyDescent="0.2"/>
  <cols>
    <col min="1" max="1" width="3.33203125" style="11" customWidth="1"/>
    <col min="2" max="2" width="5.1640625" style="4" customWidth="1"/>
    <col min="3" max="3" width="52.83203125" style="11" customWidth="1"/>
    <col min="4" max="4" width="3.83203125" style="11" customWidth="1"/>
    <col min="5" max="5" width="22" style="12" customWidth="1"/>
    <col min="6" max="6" width="31.33203125" style="12" bestFit="1" customWidth="1"/>
    <col min="7" max="7" width="8.33203125" style="11" customWidth="1"/>
    <col min="8" max="8" width="38.33203125" style="11" bestFit="1" customWidth="1"/>
    <col min="9" max="9" width="16.83203125" style="12" bestFit="1" customWidth="1"/>
    <col min="10" max="10" width="17.1640625" style="12" bestFit="1" customWidth="1"/>
    <col min="11" max="11" width="19.5" style="12" customWidth="1"/>
    <col min="12" max="12" width="12.1640625" style="12" bestFit="1" customWidth="1"/>
    <col min="13" max="16" width="11.5" style="11"/>
    <col min="17" max="17" width="19.6640625" style="11" bestFit="1" customWidth="1"/>
    <col min="18" max="16384" width="11.5" style="11"/>
  </cols>
  <sheetData>
    <row r="1" spans="2:12" x14ac:dyDescent="0.2">
      <c r="C1" s="477" t="s">
        <v>171</v>
      </c>
      <c r="D1" s="477"/>
      <c r="E1" s="477"/>
      <c r="F1" s="477"/>
    </row>
    <row r="2" spans="2:12" ht="17" thickBot="1" x14ac:dyDescent="0.25">
      <c r="I2" s="11"/>
      <c r="J2" s="11"/>
      <c r="K2" s="11"/>
      <c r="L2" s="11"/>
    </row>
    <row r="3" spans="2:12" ht="35" thickBot="1" x14ac:dyDescent="0.25">
      <c r="B3" s="144"/>
      <c r="C3" s="224" t="s">
        <v>172</v>
      </c>
      <c r="D3" s="146"/>
      <c r="E3" s="224" t="s">
        <v>347</v>
      </c>
      <c r="F3" s="224" t="s">
        <v>426</v>
      </c>
      <c r="H3" s="149" t="s">
        <v>0</v>
      </c>
      <c r="I3" s="149" t="str">
        <f>'Input Sheet &lt;=$50000'!B63</f>
        <v>Sales Daily (USD)</v>
      </c>
      <c r="J3" s="149" t="str">
        <f>'Input Sheet &lt;=$50000'!B64</f>
        <v>Sales Weekly (USD)</v>
      </c>
      <c r="K3" s="151" t="str">
        <f>'Input Sheet &lt;=$50000'!B65</f>
        <v>Sales Monthly (USD)</v>
      </c>
    </row>
    <row r="4" spans="2:12" ht="18" thickBot="1" x14ac:dyDescent="0.25">
      <c r="B4" s="144"/>
      <c r="C4" s="145"/>
      <c r="D4" s="147"/>
      <c r="E4" s="225" t="s">
        <v>462</v>
      </c>
      <c r="F4" s="226" t="s">
        <v>462</v>
      </c>
      <c r="H4" s="145" t="s">
        <v>176</v>
      </c>
      <c r="I4" s="47">
        <f>'Input Sheet &lt;=$50000'!D63</f>
        <v>13000</v>
      </c>
      <c r="J4" s="47">
        <f>'Input Sheet &lt;=$50000'!D64</f>
        <v>12000</v>
      </c>
      <c r="K4" s="48">
        <f>'Input Sheet &lt;=$50000'!D65</f>
        <v>10000</v>
      </c>
    </row>
    <row r="5" spans="2:12" ht="18" thickBot="1" x14ac:dyDescent="0.25">
      <c r="B5" s="144"/>
      <c r="C5" s="145" t="s">
        <v>2</v>
      </c>
      <c r="D5" s="35"/>
      <c r="E5" s="227">
        <f>IFERROR(IF(I5&lt;MIN(I4:K4,L11),MIN(I4:K4,L11),I5),0)</f>
        <v>15888.888888888889</v>
      </c>
      <c r="F5" s="373">
        <f>'Input Sheet &lt;=$50000'!E65</f>
        <v>0</v>
      </c>
      <c r="H5" s="150" t="s">
        <v>206</v>
      </c>
      <c r="I5" s="58">
        <f>IFERROR('Input Sheet &lt;=$50000'!D16*('Input Sheet &lt;=$50000'!C62-('Input Sheet &lt;=$50000'!C61*'Input Sheet &lt;=$50000'!C67)),0)</f>
        <v>15888.888888888889</v>
      </c>
    </row>
    <row r="6" spans="2:12" ht="18" thickBot="1" x14ac:dyDescent="0.25">
      <c r="B6" s="144"/>
      <c r="C6" s="145" t="str">
        <f>'Input Sheet &lt;=$50000'!B103</f>
        <v>Agriculture Income (Co applicant/Guarantor)</v>
      </c>
      <c r="D6" s="35"/>
      <c r="E6" s="10">
        <v>0</v>
      </c>
      <c r="F6" s="373">
        <f>'Input Sheet &lt;=$50000'!C103</f>
        <v>0</v>
      </c>
    </row>
    <row r="7" spans="2:12" ht="18" thickBot="1" x14ac:dyDescent="0.25">
      <c r="B7" s="144"/>
      <c r="C7" s="145" t="str">
        <f>'Input Sheet &lt;=$50000'!B104</f>
        <v>Rental Income (Co applicant/Guarantor)</v>
      </c>
      <c r="D7" s="35"/>
      <c r="E7" s="10">
        <v>0</v>
      </c>
      <c r="F7" s="373">
        <f>'Input Sheet &lt;=$50000'!C104</f>
        <v>0</v>
      </c>
      <c r="H7" s="152" t="s">
        <v>3</v>
      </c>
      <c r="I7" s="149" t="s">
        <v>4</v>
      </c>
      <c r="J7" s="149" t="s">
        <v>5</v>
      </c>
      <c r="K7" s="149" t="s">
        <v>6</v>
      </c>
      <c r="L7" s="151" t="s">
        <v>7</v>
      </c>
    </row>
    <row r="8" spans="2:12" ht="18" thickBot="1" x14ac:dyDescent="0.25">
      <c r="B8" s="144"/>
      <c r="C8" s="145" t="str">
        <f>'Input Sheet &lt;=$50000'!B105</f>
        <v>Salary Income(Co applicant/Guarantor)</v>
      </c>
      <c r="D8" s="35"/>
      <c r="E8" s="10">
        <v>0</v>
      </c>
      <c r="F8" s="373">
        <f>'Input Sheet &lt;=$50000'!C105</f>
        <v>0</v>
      </c>
      <c r="H8" s="150" t="s">
        <v>476</v>
      </c>
      <c r="I8" s="49">
        <f>'Input Sheet &lt;=$50000'!C69</f>
        <v>0</v>
      </c>
      <c r="J8" s="39">
        <f>'Input Sheet &lt;=$50000'!C71</f>
        <v>10000</v>
      </c>
      <c r="K8" s="39">
        <f>'Input Sheet &lt;=$50000'!C70</f>
        <v>20000</v>
      </c>
      <c r="L8" s="50"/>
    </row>
    <row r="9" spans="2:12" ht="18" thickBot="1" x14ac:dyDescent="0.25">
      <c r="B9" s="144"/>
      <c r="C9" s="145" t="str">
        <f>'Input Sheet &lt;=$50000'!B106</f>
        <v>Allied Agri Income (Co applicant/Guarantor)</v>
      </c>
      <c r="D9" s="35"/>
      <c r="E9" s="10">
        <v>0</v>
      </c>
      <c r="F9" s="373">
        <f>'Input Sheet &lt;=$50000'!C106</f>
        <v>0</v>
      </c>
      <c r="H9" s="150" t="s">
        <v>8</v>
      </c>
      <c r="I9" s="51">
        <f>'Input Sheet &lt;=$50000'!D69</f>
        <v>0</v>
      </c>
      <c r="J9" s="1">
        <f>'Input Sheet &lt;=$50000'!D71</f>
        <v>10</v>
      </c>
      <c r="K9" s="1">
        <f>'Input Sheet &lt;=$50000'!D70</f>
        <v>2</v>
      </c>
      <c r="L9" s="50">
        <f>SUM(I9:K9)</f>
        <v>12</v>
      </c>
    </row>
    <row r="10" spans="2:12" ht="18" thickBot="1" x14ac:dyDescent="0.25">
      <c r="B10" s="144"/>
      <c r="C10" s="145" t="str">
        <f>'Input Sheet &lt;=$50000'!B107</f>
        <v>Other income (Interest etc) (Co applicant/Guarantor)</v>
      </c>
      <c r="D10" s="35"/>
      <c r="E10" s="10">
        <v>0</v>
      </c>
      <c r="F10" s="373">
        <f>'Input Sheet &lt;=$50000'!C107</f>
        <v>0</v>
      </c>
      <c r="H10" s="150" t="s">
        <v>9</v>
      </c>
      <c r="I10" s="52">
        <f>I8*I9</f>
        <v>0</v>
      </c>
      <c r="J10" s="2">
        <f t="shared" ref="J10:K10" si="0">J8*J9</f>
        <v>100000</v>
      </c>
      <c r="K10" s="2">
        <f t="shared" si="0"/>
        <v>40000</v>
      </c>
      <c r="L10" s="53">
        <f>SUM(I10:K10)</f>
        <v>140000</v>
      </c>
    </row>
    <row r="11" spans="2:12" ht="18" thickBot="1" x14ac:dyDescent="0.25">
      <c r="B11" s="144" t="s">
        <v>10</v>
      </c>
      <c r="C11" s="145" t="s">
        <v>61</v>
      </c>
      <c r="D11" s="36"/>
      <c r="E11" s="228">
        <f>IF(SUM(E6:E10)&gt;E5,(E5*2),SUM(E5:E10))</f>
        <v>15888.888888888889</v>
      </c>
      <c r="F11" s="374">
        <f>IF(SUM(F6:F10)&gt;F5,(F5*2),SUM(F5:F10))</f>
        <v>0</v>
      </c>
      <c r="H11" s="12"/>
      <c r="I11" s="54"/>
      <c r="J11" s="45"/>
      <c r="K11" s="45" t="s">
        <v>11</v>
      </c>
      <c r="L11" s="55">
        <f>L10/SUM(I9:K9)</f>
        <v>11666.666666666666</v>
      </c>
    </row>
    <row r="12" spans="2:12" ht="17" thickBot="1" x14ac:dyDescent="0.25">
      <c r="E12" s="229"/>
      <c r="F12" s="229"/>
    </row>
    <row r="13" spans="2:12" ht="18" thickBot="1" x14ac:dyDescent="0.25">
      <c r="B13" s="144"/>
      <c r="C13" s="144" t="s">
        <v>173</v>
      </c>
      <c r="D13" s="167"/>
      <c r="E13" s="225" t="s">
        <v>462</v>
      </c>
      <c r="F13" s="226" t="s">
        <v>462</v>
      </c>
    </row>
    <row r="14" spans="2:12" ht="18" thickBot="1" x14ac:dyDescent="0.25">
      <c r="B14" s="144"/>
      <c r="C14" s="145" t="s">
        <v>14</v>
      </c>
      <c r="D14" s="37"/>
      <c r="E14" s="230">
        <f>IFERROR(I16,0)</f>
        <v>8955.5555555555566</v>
      </c>
      <c r="F14" s="375">
        <f>'Input Sheet &lt;=$50000'!E78</f>
        <v>0</v>
      </c>
      <c r="G14" s="3"/>
      <c r="H14" s="149" t="s">
        <v>0</v>
      </c>
      <c r="I14" s="149" t="s">
        <v>12</v>
      </c>
      <c r="J14" s="149" t="s">
        <v>13</v>
      </c>
      <c r="K14" s="151" t="s">
        <v>1</v>
      </c>
    </row>
    <row r="15" spans="2:12" ht="18" thickBot="1" x14ac:dyDescent="0.25">
      <c r="B15" s="144"/>
      <c r="C15" s="145" t="str">
        <f>'Input Sheet &lt;=$50000'!B86</f>
        <v>Shop/Godown/Factory Rent</v>
      </c>
      <c r="D15" s="37"/>
      <c r="E15" s="231">
        <f>'Input Sheet &lt;=$50000'!C86</f>
        <v>800</v>
      </c>
      <c r="F15" s="375">
        <v>0</v>
      </c>
      <c r="H15" s="145" t="s">
        <v>474</v>
      </c>
      <c r="I15" s="10">
        <f>'Input Sheet &lt;=$50000'!D76</f>
        <v>6500</v>
      </c>
      <c r="J15" s="10">
        <f>'Input Sheet &lt;=$50000'!D77</f>
        <v>6000</v>
      </c>
      <c r="K15" s="46">
        <f>'Input Sheet &lt;=$50000'!D78</f>
        <v>6000</v>
      </c>
    </row>
    <row r="16" spans="2:12" ht="18" thickBot="1" x14ac:dyDescent="0.25">
      <c r="B16" s="144"/>
      <c r="C16" s="145" t="str">
        <f>'Input Sheet &lt;=$50000'!B87</f>
        <v>Electricity</v>
      </c>
      <c r="D16" s="37"/>
      <c r="E16" s="231">
        <f>'Input Sheet &lt;=$50000'!C87</f>
        <v>100</v>
      </c>
      <c r="F16" s="375">
        <v>0</v>
      </c>
      <c r="H16" s="145" t="s">
        <v>475</v>
      </c>
      <c r="I16" s="47">
        <f>IFERROR(IF(I17&lt;MAX(I15:K15),MAX(I15:K15),I17),0)</f>
        <v>8955.5555555555566</v>
      </c>
      <c r="J16" s="47"/>
      <c r="K16" s="48"/>
    </row>
    <row r="17" spans="2:13" ht="18" thickBot="1" x14ac:dyDescent="0.25">
      <c r="B17" s="144"/>
      <c r="C17" s="145" t="str">
        <f>'Input Sheet &lt;=$50000'!B88</f>
        <v xml:space="preserve">Staff Salary </v>
      </c>
      <c r="D17" s="37"/>
      <c r="E17" s="231">
        <f>'Input Sheet &lt;=$50000'!C88</f>
        <v>250</v>
      </c>
      <c r="F17" s="375">
        <v>0</v>
      </c>
      <c r="H17" s="150" t="s">
        <v>207</v>
      </c>
      <c r="I17" s="58">
        <f>IFERROR('Input Sheet &lt;=$50000'!D31*('Input Sheet &lt;=$50000'!C62-('Input Sheet &lt;=$50000'!C61*'Input Sheet &lt;=$50000'!C67)),0)</f>
        <v>8955.5555555555566</v>
      </c>
    </row>
    <row r="18" spans="2:13" ht="18" thickBot="1" x14ac:dyDescent="0.25">
      <c r="B18" s="144"/>
      <c r="C18" s="145" t="str">
        <f>'Input Sheet &lt;=$50000'!B89</f>
        <v>Telephone/Mobile/Internet</v>
      </c>
      <c r="D18" s="37"/>
      <c r="E18" s="231">
        <f>'Input Sheet &lt;=$50000'!C89</f>
        <v>25</v>
      </c>
      <c r="F18" s="375">
        <v>0</v>
      </c>
      <c r="I18" s="11"/>
    </row>
    <row r="19" spans="2:13" ht="18" thickBot="1" x14ac:dyDescent="0.25">
      <c r="B19" s="144"/>
      <c r="C19" s="145" t="str">
        <f>'Input Sheet &lt;=$50000'!B90</f>
        <v>Transport/Conveyance</v>
      </c>
      <c r="D19" s="37"/>
      <c r="E19" s="231">
        <f>'Input Sheet &lt;=$50000'!C90</f>
        <v>100</v>
      </c>
      <c r="F19" s="375">
        <v>0</v>
      </c>
      <c r="L19" s="478" t="s">
        <v>348</v>
      </c>
      <c r="M19" s="478"/>
    </row>
    <row r="20" spans="2:13" ht="17" customHeight="1" thickBot="1" x14ac:dyDescent="0.25">
      <c r="B20" s="144"/>
      <c r="C20" s="145" t="str">
        <f>'Input Sheet &lt;=$50000'!B91</f>
        <v xml:space="preserve">Gas and Water </v>
      </c>
      <c r="D20" s="37"/>
      <c r="E20" s="231">
        <f>'Input Sheet &lt;=$50000'!C91</f>
        <v>0</v>
      </c>
      <c r="F20" s="375">
        <v>0</v>
      </c>
      <c r="H20" s="152" t="s">
        <v>15</v>
      </c>
      <c r="I20" s="153" t="s">
        <v>16</v>
      </c>
      <c r="J20" s="154" t="s">
        <v>17</v>
      </c>
      <c r="K20" s="155" t="s">
        <v>205</v>
      </c>
      <c r="L20" s="153" t="s">
        <v>16</v>
      </c>
      <c r="M20" s="154" t="s">
        <v>17</v>
      </c>
    </row>
    <row r="21" spans="2:13" ht="18" thickBot="1" x14ac:dyDescent="0.25">
      <c r="B21" s="144"/>
      <c r="C21" s="145" t="str">
        <f>'Input Sheet &lt;=$50000'!B92</f>
        <v>Repair and Maintainence</v>
      </c>
      <c r="D21" s="37"/>
      <c r="E21" s="231">
        <f>'Input Sheet &lt;=$50000'!C92</f>
        <v>0</v>
      </c>
      <c r="F21" s="375">
        <v>0</v>
      </c>
      <c r="H21" s="150" t="s">
        <v>18</v>
      </c>
      <c r="I21" s="56">
        <f>IFERROR(((E5-E14)/E5),0)</f>
        <v>0.43636363636363629</v>
      </c>
      <c r="J21" s="14">
        <f>'Customer Details'!C54</f>
        <v>0.4</v>
      </c>
      <c r="K21" s="77">
        <f>IF('Customer Details'!C48="Trading",'Input Sheet &lt;=$50000'!D120,IF('Customer Details'!C48="Services",'Input Sheet &lt;=$50000'!D129,IF('Customer Details'!C48="Manufacturing &amp; Trading",AVERAGE('Input Sheet &lt;=$50000'!D120,'Input Sheet &lt;=$50000'!E139),IF('Customer Details'!C48="Trading &amp; Services",AVERAGE('Input Sheet &lt;=$50000'!D120,'Input Sheet &lt;=$50000'!D129),IF('Customer Details'!C48="Manufacturing and Services",AVERAGE('Input Sheet &lt;=$50000'!E139,'Input Sheet &lt;=$50000'!D129),'Input Sheet &lt;=$50000'!E139)))))</f>
        <v>0.39487179487179486</v>
      </c>
      <c r="L21" s="56">
        <f>IFERROR(((F5-F14)/F5),0)</f>
        <v>0</v>
      </c>
      <c r="M21" s="14">
        <f>'Customer Details'!C42</f>
        <v>0</v>
      </c>
    </row>
    <row r="22" spans="2:13" ht="18" thickBot="1" x14ac:dyDescent="0.25">
      <c r="B22" s="144"/>
      <c r="C22" s="145" t="str">
        <f>'Input Sheet &lt;=$50000'!B93</f>
        <v>Diesel for Generator</v>
      </c>
      <c r="D22" s="37"/>
      <c r="E22" s="231">
        <f>'Input Sheet &lt;=$50000'!C93</f>
        <v>0</v>
      </c>
      <c r="F22" s="375">
        <v>0</v>
      </c>
      <c r="H22" s="150" t="s">
        <v>670</v>
      </c>
      <c r="I22" s="380">
        <f>IFERROR(MIN(I21:K21),0)</f>
        <v>0.39487179487179486</v>
      </c>
    </row>
    <row r="23" spans="2:13" ht="18" thickBot="1" x14ac:dyDescent="0.25">
      <c r="B23" s="144"/>
      <c r="C23" s="145" t="str">
        <f>'Input Sheet &lt;=$50000'!B94</f>
        <v xml:space="preserve">Marketing </v>
      </c>
      <c r="D23" s="37"/>
      <c r="E23" s="231">
        <f>'Input Sheet &lt;=$50000'!C94</f>
        <v>0</v>
      </c>
      <c r="F23" s="375">
        <v>0</v>
      </c>
      <c r="H23" s="150" t="s">
        <v>20</v>
      </c>
      <c r="I23" s="57">
        <f>IFERROR((E31/E5),0)</f>
        <v>0.35611888111888107</v>
      </c>
      <c r="J23" s="45"/>
      <c r="K23" s="78"/>
      <c r="L23" s="57">
        <f>IFERROR((F31/F5),0)</f>
        <v>0</v>
      </c>
      <c r="M23" s="45"/>
    </row>
    <row r="24" spans="2:13" ht="18" thickBot="1" x14ac:dyDescent="0.25">
      <c r="B24" s="144"/>
      <c r="C24" s="145" t="str">
        <f>'Input Sheet &lt;=$50000'!B95</f>
        <v>Labour Expense</v>
      </c>
      <c r="D24" s="37"/>
      <c r="E24" s="231">
        <f>'Input Sheet &lt;=$50000'!C95</f>
        <v>0</v>
      </c>
      <c r="F24" s="375">
        <v>0</v>
      </c>
    </row>
    <row r="25" spans="2:13" ht="18" thickBot="1" x14ac:dyDescent="0.25">
      <c r="B25" s="144"/>
      <c r="C25" s="145" t="str">
        <f>'Input Sheet &lt;=$50000'!B96</f>
        <v>Society Bill &amp; Security</v>
      </c>
      <c r="D25" s="37"/>
      <c r="E25" s="231">
        <f>'Input Sheet &lt;=$50000'!C96</f>
        <v>0</v>
      </c>
      <c r="F25" s="375">
        <v>0</v>
      </c>
      <c r="H25" s="149" t="s">
        <v>277</v>
      </c>
      <c r="I25" s="149" t="s">
        <v>363</v>
      </c>
      <c r="J25" s="151" t="s">
        <v>364</v>
      </c>
    </row>
    <row r="26" spans="2:13" ht="18" thickBot="1" x14ac:dyDescent="0.25">
      <c r="B26" s="144"/>
      <c r="C26" s="145" t="str">
        <f>'Input Sheet &lt;=$50000'!B97</f>
        <v>Tax</v>
      </c>
      <c r="D26" s="37"/>
      <c r="E26" s="231">
        <f>'Input Sheet &lt;=$50000'!C97</f>
        <v>0</v>
      </c>
      <c r="F26" s="375">
        <v>0</v>
      </c>
      <c r="H26" s="145" t="s">
        <v>66</v>
      </c>
      <c r="I26" s="80">
        <f>IFERROR((('Input Sheet &lt;=$50000'!C72/(E5*12))*365),0)</f>
        <v>0</v>
      </c>
      <c r="J26" s="169">
        <f>IFERROR(('Input Sheet &lt;=$50000'!E71/('Output Sheet &lt;=$50000'!F5*12))*365,0)</f>
        <v>0</v>
      </c>
    </row>
    <row r="27" spans="2:13" ht="18" thickBot="1" x14ac:dyDescent="0.25">
      <c r="B27" s="144"/>
      <c r="C27" s="145" t="str">
        <f>'Input Sheet &lt;=$50000'!B98</f>
        <v xml:space="preserve">Entertainment </v>
      </c>
      <c r="D27" s="37"/>
      <c r="E27" s="231">
        <f>'Input Sheet &lt;=$50000'!C98</f>
        <v>0</v>
      </c>
      <c r="F27" s="375">
        <v>0</v>
      </c>
      <c r="H27" s="145" t="s">
        <v>41</v>
      </c>
      <c r="I27" s="80">
        <f>IFERROR((('Input Sheet &lt;=$50000'!C82+'Input Sheet &lt;=$50000'!C83)/(E14*12)*365),0)</f>
        <v>135.8560794044665</v>
      </c>
      <c r="J27" s="170">
        <f>IFERROR(('Input Sheet &lt;=$50000'!E82+'Input Sheet &lt;=$50000'!E83)/('Output Sheet &lt;=$50000'!F14*12)*365,0)</f>
        <v>0</v>
      </c>
    </row>
    <row r="28" spans="2:13" ht="18" thickBot="1" x14ac:dyDescent="0.25">
      <c r="B28" s="144"/>
      <c r="C28" s="145" t="str">
        <f>'Input Sheet &lt;=$50000'!B99</f>
        <v xml:space="preserve">Other Business Expense </v>
      </c>
      <c r="D28" s="37"/>
      <c r="E28" s="231">
        <f>'Input Sheet &lt;=$50000'!C99</f>
        <v>0</v>
      </c>
      <c r="F28" s="375">
        <v>0</v>
      </c>
      <c r="H28" s="145" t="s">
        <v>276</v>
      </c>
      <c r="I28" s="80">
        <f>IFERROR((('Input Sheet &lt;=$50000'!C79)/(E14*12)*365),0)</f>
        <v>5.0946029776674928</v>
      </c>
      <c r="J28" s="170">
        <f>IFERROR('Input Sheet &lt;=$50000'!E79/('Output Sheet &lt;=$50000'!F14*12)*365,0)</f>
        <v>0</v>
      </c>
    </row>
    <row r="29" spans="2:13" ht="18" thickBot="1" x14ac:dyDescent="0.25">
      <c r="B29" s="144" t="s">
        <v>19</v>
      </c>
      <c r="C29" s="145" t="s">
        <v>62</v>
      </c>
      <c r="D29" s="38"/>
      <c r="E29" s="232">
        <f>SUM(E14:E28)</f>
        <v>10230.555555555557</v>
      </c>
      <c r="F29" s="376">
        <f>'Input Sheet &lt;=$50000'!E100+'Output Sheet &lt;=$50000'!F14</f>
        <v>0</v>
      </c>
      <c r="H29" s="145" t="s">
        <v>387</v>
      </c>
      <c r="I29" s="81">
        <f>I26+I27-I28</f>
        <v>130.76147642679899</v>
      </c>
      <c r="J29" s="81">
        <f>J26+J27-J28</f>
        <v>0</v>
      </c>
    </row>
    <row r="30" spans="2:13" x14ac:dyDescent="0.2">
      <c r="E30" s="229"/>
      <c r="F30" s="229"/>
    </row>
    <row r="31" spans="2:13" ht="18" thickBot="1" x14ac:dyDescent="0.25">
      <c r="B31" s="144" t="s">
        <v>21</v>
      </c>
      <c r="C31" s="145" t="s">
        <v>174</v>
      </c>
      <c r="D31" s="13"/>
      <c r="E31" s="227">
        <f>E5-E29</f>
        <v>5658.3333333333321</v>
      </c>
      <c r="F31" s="227">
        <f>F5-F29</f>
        <v>0</v>
      </c>
    </row>
    <row r="32" spans="2:13" ht="18" thickBot="1" x14ac:dyDescent="0.25">
      <c r="E32" s="229"/>
      <c r="F32" s="229"/>
      <c r="H32" s="149" t="s">
        <v>382</v>
      </c>
      <c r="I32" s="178" t="s">
        <v>383</v>
      </c>
    </row>
    <row r="33" spans="2:11" ht="22" customHeight="1" thickBot="1" x14ac:dyDescent="0.25">
      <c r="B33" s="144" t="s">
        <v>22</v>
      </c>
      <c r="C33" s="145" t="s">
        <v>365</v>
      </c>
      <c r="D33" s="13"/>
      <c r="E33" s="187">
        <f>MIN((E5-E29),(MIN(I21:K21)*E5))</f>
        <v>5658.3333333333321</v>
      </c>
      <c r="F33" s="187">
        <f>MIN((F5-F29),(MIN(L21:M21)*F5))</f>
        <v>0</v>
      </c>
      <c r="H33" s="177" t="s">
        <v>384</v>
      </c>
      <c r="I33" s="179">
        <f>'Input Sheet &lt;=$50000'!C73</f>
        <v>0.25</v>
      </c>
    </row>
    <row r="34" spans="2:11" ht="17" x14ac:dyDescent="0.2">
      <c r="E34" s="229"/>
      <c r="F34" s="229"/>
      <c r="H34" s="176" t="s">
        <v>644</v>
      </c>
      <c r="I34" s="180">
        <f>(E5*12)*(1+I33)</f>
        <v>238333.33333333331</v>
      </c>
    </row>
    <row r="35" spans="2:11" ht="18" thickBot="1" x14ac:dyDescent="0.25">
      <c r="B35" s="144" t="s">
        <v>24</v>
      </c>
      <c r="C35" s="145" t="s">
        <v>26</v>
      </c>
      <c r="D35" s="13"/>
      <c r="E35" s="227">
        <f>MIN(E31,E33)+SUM(E6:E10)</f>
        <v>5658.3333333333321</v>
      </c>
      <c r="F35" s="227">
        <f>IF('Customer Details'!C31="Self Employed",
    MIN(F31,F33)+SUM(F6:F10),
    IF('Customer Details'!C31="Salaried",
       'Input Sheet &lt;=$50000'!C105,
       0))</f>
        <v>0</v>
      </c>
      <c r="H35" s="176" t="str">
        <f>H29</f>
        <v>Net Working Capital Cycle (days)</v>
      </c>
      <c r="I35" s="181">
        <f>I29</f>
        <v>130.76147642679899</v>
      </c>
      <c r="K35" s="438">
        <f>MIN(F31,F33)+SUM(F6:F10)</f>
        <v>0</v>
      </c>
    </row>
    <row r="36" spans="2:11" ht="18" thickBot="1" x14ac:dyDescent="0.25">
      <c r="E36" s="229"/>
      <c r="F36" s="229"/>
      <c r="H36" s="176" t="s">
        <v>645</v>
      </c>
      <c r="I36" s="180">
        <f>I34*(I35/365)</f>
        <v>85383.064516129016</v>
      </c>
    </row>
    <row r="37" spans="2:11" ht="18" thickBot="1" x14ac:dyDescent="0.25">
      <c r="B37" s="144"/>
      <c r="C37" s="144" t="s">
        <v>175</v>
      </c>
      <c r="D37" s="167"/>
      <c r="E37" s="225" t="s">
        <v>462</v>
      </c>
      <c r="F37" s="226" t="s">
        <v>462</v>
      </c>
      <c r="H37" s="176" t="s">
        <v>646</v>
      </c>
      <c r="I37" s="182">
        <f>'Input Sheet &lt;=$50000'!C72+'Input Sheet &lt;=$50000'!C82-'Input Sheet &lt;=$50000'!C79</f>
        <v>38500</v>
      </c>
    </row>
    <row r="38" spans="2:11" ht="18" thickBot="1" x14ac:dyDescent="0.25">
      <c r="B38" s="144" t="s">
        <v>416</v>
      </c>
      <c r="C38" s="148" t="s">
        <v>463</v>
      </c>
      <c r="D38" s="13"/>
      <c r="E38" s="233">
        <f>E35</f>
        <v>5658.3333333333321</v>
      </c>
      <c r="F38" s="233">
        <f>F35</f>
        <v>0</v>
      </c>
      <c r="H38" s="176" t="s">
        <v>647</v>
      </c>
      <c r="I38" s="180">
        <f>IF(I36&gt;I37,I36-I37,0)</f>
        <v>46883.064516129016</v>
      </c>
    </row>
    <row r="39" spans="2:11" ht="18" thickBot="1" x14ac:dyDescent="0.25">
      <c r="B39" s="144" t="s">
        <v>204</v>
      </c>
      <c r="C39" s="148" t="s">
        <v>29</v>
      </c>
      <c r="D39" s="13"/>
      <c r="E39" s="186">
        <f>'Input Sheet &lt;=$50000'!C142</f>
        <v>0.65</v>
      </c>
      <c r="F39" s="377">
        <f>'Input Sheet &lt;=$50000'!C142</f>
        <v>0.65</v>
      </c>
      <c r="H39" s="176" t="s">
        <v>721</v>
      </c>
      <c r="I39" s="193">
        <f>I38*'Customer Details'!C65</f>
        <v>11720.766129032254</v>
      </c>
    </row>
    <row r="40" spans="2:11" ht="19" customHeight="1" thickBot="1" x14ac:dyDescent="0.25">
      <c r="B40" s="144" t="s">
        <v>25</v>
      </c>
      <c r="C40" s="148" t="s">
        <v>464</v>
      </c>
      <c r="D40" s="13"/>
      <c r="E40" s="233">
        <f>E38*E39</f>
        <v>3677.9166666666661</v>
      </c>
      <c r="F40" s="233">
        <f>F38*F39</f>
        <v>0</v>
      </c>
      <c r="H40" s="176" t="s">
        <v>722</v>
      </c>
      <c r="I40" s="436">
        <f>I38-I39</f>
        <v>35162.298387096758</v>
      </c>
      <c r="J40" s="11"/>
    </row>
    <row r="41" spans="2:11" ht="18" thickBot="1" x14ac:dyDescent="0.25">
      <c r="B41" s="144" t="s">
        <v>27</v>
      </c>
      <c r="C41" s="148" t="s">
        <v>42</v>
      </c>
      <c r="D41" s="13"/>
      <c r="E41" s="233">
        <f>'Customer Details'!J108</f>
        <v>0</v>
      </c>
      <c r="F41" s="233">
        <f>'Customer Details'!J114</f>
        <v>0</v>
      </c>
      <c r="H41" s="448" t="s">
        <v>764</v>
      </c>
      <c r="I41" s="447">
        <f>(I38-E56)/I38</f>
        <v>0.57340672572460638</v>
      </c>
      <c r="J41" s="11"/>
    </row>
    <row r="42" spans="2:11" ht="18" thickBot="1" x14ac:dyDescent="0.25">
      <c r="B42" s="144" t="s">
        <v>28</v>
      </c>
      <c r="C42" s="148" t="s">
        <v>465</v>
      </c>
      <c r="D42" s="13"/>
      <c r="E42" s="233">
        <f>E40-E41</f>
        <v>3677.9166666666661</v>
      </c>
      <c r="F42" s="233">
        <f>F40-F41</f>
        <v>0</v>
      </c>
      <c r="I42" s="11"/>
      <c r="J42" s="11"/>
    </row>
    <row r="43" spans="2:11" ht="18" thickBot="1" x14ac:dyDescent="0.25">
      <c r="B43" s="144" t="s">
        <v>30</v>
      </c>
      <c r="C43" s="148" t="s">
        <v>466</v>
      </c>
      <c r="D43" s="13"/>
      <c r="E43" s="233">
        <f>'Customer Details'!C67</f>
        <v>1000</v>
      </c>
      <c r="F43" s="233">
        <f>E43</f>
        <v>1000</v>
      </c>
      <c r="H43" s="151" t="s">
        <v>388</v>
      </c>
      <c r="I43" s="183" t="s">
        <v>383</v>
      </c>
      <c r="J43" s="11"/>
    </row>
    <row r="44" spans="2:11" ht="18" thickBot="1" x14ac:dyDescent="0.25">
      <c r="B44" s="144" t="s">
        <v>31</v>
      </c>
      <c r="C44" s="148" t="s">
        <v>467</v>
      </c>
      <c r="D44" s="13"/>
      <c r="E44" s="233">
        <f>'Input Sheet &lt;=$50000'!C111</f>
        <v>5000</v>
      </c>
      <c r="F44" s="233">
        <f>'Input Sheet &lt;=$50000'!E111</f>
        <v>0</v>
      </c>
      <c r="H44" s="185" t="s">
        <v>648</v>
      </c>
      <c r="I44" s="184">
        <f>'Customer Details'!C64</f>
        <v>0</v>
      </c>
      <c r="J44" s="11"/>
    </row>
    <row r="45" spans="2:11" ht="18" thickBot="1" x14ac:dyDescent="0.25">
      <c r="B45" s="144" t="s">
        <v>32</v>
      </c>
      <c r="C45" s="148" t="s">
        <v>468</v>
      </c>
      <c r="D45" s="13"/>
      <c r="E45" s="233">
        <f>MIN(E42:E44)</f>
        <v>1000</v>
      </c>
      <c r="F45" s="233">
        <f>MIN(F42:F44)</f>
        <v>0</v>
      </c>
      <c r="H45" s="185" t="s">
        <v>727</v>
      </c>
      <c r="I45" s="437">
        <f>'Customer Details'!C66</f>
        <v>0.3</v>
      </c>
      <c r="J45" s="11"/>
    </row>
    <row r="46" spans="2:11" ht="18" thickBot="1" x14ac:dyDescent="0.25">
      <c r="B46" s="144" t="s">
        <v>33</v>
      </c>
      <c r="C46" s="148" t="s">
        <v>203</v>
      </c>
      <c r="D46" s="13"/>
      <c r="E46" s="234">
        <f>'Input Sheet &lt;=$50000'!D58/E57</f>
        <v>0.43076868605745361</v>
      </c>
      <c r="F46" s="234" t="s">
        <v>196</v>
      </c>
      <c r="H46" s="185" t="s">
        <v>728</v>
      </c>
      <c r="I46" s="184">
        <f>I44*(1-I45)</f>
        <v>0</v>
      </c>
      <c r="J46" s="11"/>
    </row>
    <row r="47" spans="2:11" ht="18" thickBot="1" x14ac:dyDescent="0.25">
      <c r="B47" s="144" t="s">
        <v>34</v>
      </c>
      <c r="C47" s="148" t="s">
        <v>217</v>
      </c>
      <c r="D47" s="13"/>
      <c r="E47" s="234">
        <f>'Input Sheet &lt;=$50000'!D58/'Output Sheet &lt;=$50000'!E5</f>
        <v>2.5524475524475523E-2</v>
      </c>
      <c r="F47" s="234" t="s">
        <v>196</v>
      </c>
      <c r="H47" s="448" t="s">
        <v>767</v>
      </c>
      <c r="I47" s="447" t="e">
        <f>(I44-E56)/I44</f>
        <v>#DIV/0!</v>
      </c>
      <c r="J47" s="11"/>
    </row>
    <row r="48" spans="2:11" ht="18" thickBot="1" x14ac:dyDescent="0.25">
      <c r="B48" s="144" t="s">
        <v>35</v>
      </c>
      <c r="C48" s="148" t="s">
        <v>469</v>
      </c>
      <c r="D48" s="13"/>
      <c r="E48" s="235">
        <f>-IF(E45&gt;0, PV(E49/12,E50,E45,0,0),0)</f>
        <v>21243.387257627881</v>
      </c>
      <c r="F48" s="235">
        <f>-IF(F45&gt;0, PV(F49/12,F50,F45,0,0),0)</f>
        <v>0</v>
      </c>
      <c r="I48" s="11"/>
      <c r="J48" s="11"/>
    </row>
    <row r="49" spans="2:9" ht="18" thickBot="1" x14ac:dyDescent="0.25">
      <c r="B49" s="144" t="s">
        <v>36</v>
      </c>
      <c r="C49" s="148" t="s">
        <v>223</v>
      </c>
      <c r="D49" s="13"/>
      <c r="E49" s="236">
        <f>'Customer Details'!C61</f>
        <v>0.12</v>
      </c>
      <c r="F49" s="378">
        <f>E49</f>
        <v>0.12</v>
      </c>
    </row>
    <row r="50" spans="2:9" ht="18" thickBot="1" x14ac:dyDescent="0.25">
      <c r="B50" s="144" t="s">
        <v>37</v>
      </c>
      <c r="C50" s="148" t="s">
        <v>40</v>
      </c>
      <c r="D50" s="13"/>
      <c r="E50" s="233">
        <f>'Customer Details'!C60</f>
        <v>24</v>
      </c>
      <c r="F50" s="233">
        <f>E50</f>
        <v>24</v>
      </c>
    </row>
    <row r="51" spans="2:9" ht="18" thickBot="1" x14ac:dyDescent="0.25">
      <c r="B51" s="144" t="s">
        <v>38</v>
      </c>
      <c r="C51" s="148" t="s">
        <v>470</v>
      </c>
      <c r="D51" s="13"/>
      <c r="E51" s="237">
        <f>'Customer Details'!C59</f>
        <v>20000</v>
      </c>
      <c r="F51" s="237">
        <f>E51</f>
        <v>20000</v>
      </c>
      <c r="I51" s="11"/>
    </row>
    <row r="52" spans="2:9" ht="18" thickBot="1" x14ac:dyDescent="0.3">
      <c r="B52" s="144" t="s">
        <v>39</v>
      </c>
      <c r="C52" s="148" t="s">
        <v>471</v>
      </c>
      <c r="D52" s="13"/>
      <c r="E52" s="233">
        <f>IF('Customer Details'!C63="Working Capital ",
MIN(E48,E51,E53,E56),
IF('Customer Details'!C63="Capital Expenditure",
MIN(E48,E51,E54,E56),IF('Customer Details'!C63="Capital Expenditure &amp; Working Capital",
MIN(E48,E51,(E54+E53,E56)),
0)))</f>
        <v>20000</v>
      </c>
      <c r="F52" s="233">
        <f>MIN(F48,F51)</f>
        <v>0</v>
      </c>
      <c r="H52" s="15"/>
      <c r="I52" s="11"/>
    </row>
    <row r="53" spans="2:9" ht="18" thickBot="1" x14ac:dyDescent="0.3">
      <c r="B53" s="144" t="s">
        <v>63</v>
      </c>
      <c r="C53" s="148" t="s">
        <v>723</v>
      </c>
      <c r="D53" s="13"/>
      <c r="E53" s="233">
        <f>I40</f>
        <v>35162.298387096758</v>
      </c>
      <c r="F53" s="233">
        <f>E53</f>
        <v>35162.298387096758</v>
      </c>
      <c r="H53" s="15"/>
      <c r="I53" s="11"/>
    </row>
    <row r="54" spans="2:9" ht="18" thickBot="1" x14ac:dyDescent="0.3">
      <c r="B54" s="144" t="s">
        <v>64</v>
      </c>
      <c r="C54" s="148" t="s">
        <v>724</v>
      </c>
      <c r="D54" s="13"/>
      <c r="E54" s="233">
        <f>I46</f>
        <v>0</v>
      </c>
      <c r="F54" s="233">
        <f>E54</f>
        <v>0</v>
      </c>
      <c r="H54" s="15"/>
      <c r="I54" s="11"/>
    </row>
    <row r="55" spans="2:9" ht="18" thickBot="1" x14ac:dyDescent="0.3">
      <c r="B55" s="144" t="s">
        <v>417</v>
      </c>
      <c r="C55" s="148" t="s">
        <v>765</v>
      </c>
      <c r="D55" s="446"/>
      <c r="E55" s="233">
        <f>'Customer Details'!C70</f>
        <v>84000</v>
      </c>
      <c r="F55" s="233">
        <f>E55</f>
        <v>84000</v>
      </c>
      <c r="H55" s="15"/>
      <c r="I55" s="11"/>
    </row>
    <row r="56" spans="2:9" ht="18" thickBot="1" x14ac:dyDescent="0.3">
      <c r="B56" s="144" t="s">
        <v>725</v>
      </c>
      <c r="C56" s="148" t="s">
        <v>472</v>
      </c>
      <c r="D56" s="13"/>
      <c r="E56" s="233">
        <f>'Customer Details'!C69</f>
        <v>20000</v>
      </c>
      <c r="F56" s="233">
        <f>E56</f>
        <v>20000</v>
      </c>
      <c r="H56" s="15"/>
    </row>
    <row r="57" spans="2:9" ht="18" thickBot="1" x14ac:dyDescent="0.25">
      <c r="B57" s="144" t="s">
        <v>726</v>
      </c>
      <c r="C57" s="148" t="s">
        <v>473</v>
      </c>
      <c r="D57" s="13"/>
      <c r="E57" s="233">
        <f>PMT(E49/12,E50,-E56,0,0)</f>
        <v>941.46944446529415</v>
      </c>
      <c r="F57" s="233">
        <f>E57</f>
        <v>941.46944446529415</v>
      </c>
    </row>
    <row r="58" spans="2:9" ht="18" thickBot="1" x14ac:dyDescent="0.25">
      <c r="B58" s="144" t="s">
        <v>766</v>
      </c>
      <c r="C58" s="148" t="s">
        <v>415</v>
      </c>
      <c r="D58" s="13"/>
      <c r="E58" s="238">
        <f>IFERROR((E57/E38),0)</f>
        <v>0.1663863524828208</v>
      </c>
      <c r="F58" s="379" t="e">
        <f>F57/F38</f>
        <v>#DIV/0!</v>
      </c>
    </row>
    <row r="59" spans="2:9" x14ac:dyDescent="0.2">
      <c r="B59" s="11"/>
      <c r="E59" s="11"/>
      <c r="F59" s="11"/>
    </row>
    <row r="71" spans="9:11" x14ac:dyDescent="0.2">
      <c r="I71" s="11"/>
      <c r="J71" s="11"/>
      <c r="K71" s="11"/>
    </row>
    <row r="72" spans="9:11" x14ac:dyDescent="0.2">
      <c r="I72" s="11"/>
      <c r="J72" s="11"/>
      <c r="K72" s="11"/>
    </row>
    <row r="73" spans="9:11" x14ac:dyDescent="0.2">
      <c r="I73" s="11"/>
      <c r="J73" s="11"/>
      <c r="K73" s="11"/>
    </row>
    <row r="74" spans="9:11" x14ac:dyDescent="0.2">
      <c r="I74" s="11"/>
      <c r="J74" s="11"/>
      <c r="K74" s="11"/>
    </row>
    <row r="75" spans="9:11" x14ac:dyDescent="0.2">
      <c r="I75" s="11"/>
      <c r="J75" s="11"/>
      <c r="K75" s="11"/>
    </row>
    <row r="76" spans="9:11" x14ac:dyDescent="0.2">
      <c r="I76" s="11"/>
      <c r="J76" s="11"/>
      <c r="K76" s="11"/>
    </row>
    <row r="77" spans="9:11" x14ac:dyDescent="0.2">
      <c r="I77" s="11"/>
      <c r="J77" s="11"/>
      <c r="K77" s="11"/>
    </row>
    <row r="78" spans="9:11" x14ac:dyDescent="0.2">
      <c r="I78" s="11"/>
      <c r="J78" s="11"/>
      <c r="K78" s="11"/>
    </row>
  </sheetData>
  <mergeCells count="2">
    <mergeCell ref="C1:F1"/>
    <mergeCell ref="L19:M19"/>
  </mergeCells>
  <conditionalFormatting sqref="E56">
    <cfRule type="cellIs" dxfId="6" priority="2" operator="greaterThan">
      <formula>$E$52</formula>
    </cfRule>
  </conditionalFormatting>
  <conditionalFormatting sqref="F56">
    <cfRule type="cellIs" dxfId="5" priority="1" operator="greaterThan">
      <formula>$F$52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56912-A0B8-C642-AFDE-3C57729839B7}">
  <sheetPr>
    <tabColor theme="7"/>
  </sheetPr>
  <dimension ref="B1:M64"/>
  <sheetViews>
    <sheetView topLeftCell="B1" zoomScaleNormal="100" workbookViewId="0">
      <selection activeCell="I46" sqref="I46:J48"/>
    </sheetView>
  </sheetViews>
  <sheetFormatPr baseColWidth="10" defaultColWidth="10.83203125" defaultRowHeight="16" x14ac:dyDescent="0.2"/>
  <cols>
    <col min="1" max="1" width="4.5" style="11" customWidth="1"/>
    <col min="2" max="2" width="15.6640625" style="12" bestFit="1" customWidth="1"/>
    <col min="3" max="3" width="16.6640625" style="12" bestFit="1" customWidth="1"/>
    <col min="4" max="4" width="14.33203125" style="12" customWidth="1"/>
    <col min="5" max="5" width="10.83203125" style="12"/>
    <col min="6" max="6" width="40.33203125" style="12" customWidth="1"/>
    <col min="7" max="7" width="8.1640625" style="12" customWidth="1"/>
    <col min="8" max="8" width="5.6640625" style="12" customWidth="1"/>
    <col min="9" max="9" width="14" style="79" customWidth="1"/>
    <col min="10" max="10" width="34.83203125" style="79" customWidth="1"/>
    <col min="11" max="11" width="44.1640625" style="11" customWidth="1"/>
    <col min="12" max="16384" width="10.83203125" style="11"/>
  </cols>
  <sheetData>
    <row r="1" spans="2:13" x14ac:dyDescent="0.2">
      <c r="B1" s="459" t="s">
        <v>226</v>
      </c>
      <c r="C1" s="459"/>
      <c r="D1" s="459"/>
      <c r="E1" s="459"/>
      <c r="F1" s="459"/>
      <c r="K1" s="79"/>
    </row>
    <row r="2" spans="2:13" ht="17" thickBot="1" x14ac:dyDescent="0.25">
      <c r="B2" s="11"/>
      <c r="C2" s="11"/>
      <c r="D2" s="11"/>
      <c r="E2" s="11"/>
      <c r="F2" s="11"/>
      <c r="G2" s="11"/>
      <c r="H2" s="11"/>
      <c r="I2" s="11"/>
      <c r="J2" s="11"/>
    </row>
    <row r="3" spans="2:13" s="12" customFormat="1" ht="35" thickBot="1" x14ac:dyDescent="0.25">
      <c r="B3" s="430" t="s">
        <v>232</v>
      </c>
      <c r="C3" s="431" t="s">
        <v>233</v>
      </c>
      <c r="D3" s="432" t="s">
        <v>234</v>
      </c>
      <c r="E3" s="530" t="s">
        <v>235</v>
      </c>
      <c r="F3" s="531"/>
      <c r="G3" s="433" t="s">
        <v>236</v>
      </c>
      <c r="H3" s="434" t="s">
        <v>237</v>
      </c>
      <c r="I3" s="457" t="s">
        <v>634</v>
      </c>
      <c r="J3" s="458"/>
      <c r="K3" s="366" t="s">
        <v>238</v>
      </c>
    </row>
    <row r="4" spans="2:13" ht="16" customHeight="1" x14ac:dyDescent="0.2">
      <c r="B4" s="493" t="s">
        <v>649</v>
      </c>
      <c r="C4" s="532" t="s">
        <v>251</v>
      </c>
      <c r="D4" s="501">
        <v>10</v>
      </c>
      <c r="E4" s="485" t="s">
        <v>254</v>
      </c>
      <c r="F4" s="486"/>
      <c r="G4" s="156">
        <v>3</v>
      </c>
      <c r="H4" s="505">
        <f ca="1">IF(OR('Customer Details'!C7=0,
       ISBLANK('Customer Details'!C7),
       'Customer Details'!C7="",
       NOT(ISNUMBER('Customer Details'!C7))),
    0,
    IF(AND('Customer Details'!C7 &gt;= 21, 'Customer Details'!C7 &lt; 31),
        3,
        IF(AND('Customer Details'!C7 &gt;= 31, 'Customer Details'!C7 &lt; 40),
            5,
            IF(AND('Customer Details'!C7 &gt;= 41, 'Customer Details'!C7 &lt; 51),
                10,
                7))))</f>
        <v>5</v>
      </c>
      <c r="I4" s="533">
        <v>36</v>
      </c>
      <c r="J4" s="534"/>
      <c r="K4" s="529" t="s">
        <v>271</v>
      </c>
      <c r="M4" s="12"/>
    </row>
    <row r="5" spans="2:13" ht="16" customHeight="1" x14ac:dyDescent="0.2">
      <c r="B5" s="494"/>
      <c r="C5" s="525"/>
      <c r="D5" s="501"/>
      <c r="E5" s="485" t="s">
        <v>255</v>
      </c>
      <c r="F5" s="486"/>
      <c r="G5" s="157">
        <v>5</v>
      </c>
      <c r="H5" s="505"/>
      <c r="I5" s="535"/>
      <c r="J5" s="536"/>
      <c r="K5" s="523"/>
      <c r="M5" s="12"/>
    </row>
    <row r="6" spans="2:13" ht="16" customHeight="1" x14ac:dyDescent="0.2">
      <c r="B6" s="494"/>
      <c r="C6" s="525"/>
      <c r="D6" s="501"/>
      <c r="E6" s="485" t="s">
        <v>257</v>
      </c>
      <c r="F6" s="486"/>
      <c r="G6" s="157">
        <v>10</v>
      </c>
      <c r="H6" s="505"/>
      <c r="I6" s="535"/>
      <c r="J6" s="536"/>
      <c r="K6" s="523"/>
      <c r="M6" s="12"/>
    </row>
    <row r="7" spans="2:13" ht="16" customHeight="1" x14ac:dyDescent="0.2">
      <c r="B7" s="494"/>
      <c r="C7" s="526"/>
      <c r="D7" s="501"/>
      <c r="E7" s="485" t="s">
        <v>256</v>
      </c>
      <c r="F7" s="486"/>
      <c r="G7" s="157">
        <v>7</v>
      </c>
      <c r="H7" s="505"/>
      <c r="I7" s="535"/>
      <c r="J7" s="536"/>
      <c r="K7" s="523"/>
      <c r="M7" s="12"/>
    </row>
    <row r="8" spans="2:13" ht="16" customHeight="1" x14ac:dyDescent="0.2">
      <c r="B8" s="494"/>
      <c r="C8" s="524" t="s">
        <v>239</v>
      </c>
      <c r="D8" s="501">
        <v>10</v>
      </c>
      <c r="E8" s="485" t="s">
        <v>350</v>
      </c>
      <c r="F8" s="486"/>
      <c r="G8" s="156">
        <v>2</v>
      </c>
      <c r="H8" s="505">
        <f>IF(OR('Customer Details'!C50=0,
ISBLANK('Customer Details'!C50),
'Customer Details'!C50="",
NOT(ISNUMBER('Customer Details'!C50))),
0,IF('Customer Details'!C50&lt;5,
2,
IF(AND('Customer Details'!C50&gt;=5,'Customer Details'!C50&lt;11),
5,
IF(AND('Customer Details'!C50&gt;=11,'Customer Details'!C50&lt;16),
8,
10))))</f>
        <v>5</v>
      </c>
      <c r="I8" s="508">
        <v>8</v>
      </c>
      <c r="J8" s="509"/>
      <c r="K8" s="523" t="s">
        <v>240</v>
      </c>
      <c r="M8" s="12"/>
    </row>
    <row r="9" spans="2:13" ht="16" customHeight="1" x14ac:dyDescent="0.2">
      <c r="B9" s="494"/>
      <c r="C9" s="525"/>
      <c r="D9" s="501"/>
      <c r="E9" s="485" t="s">
        <v>351</v>
      </c>
      <c r="F9" s="486"/>
      <c r="G9" s="157">
        <v>5</v>
      </c>
      <c r="H9" s="505"/>
      <c r="I9" s="510"/>
      <c r="J9" s="511"/>
      <c r="K9" s="523"/>
      <c r="M9" s="12"/>
    </row>
    <row r="10" spans="2:13" ht="16" customHeight="1" x14ac:dyDescent="0.2">
      <c r="B10" s="494"/>
      <c r="C10" s="525"/>
      <c r="D10" s="501"/>
      <c r="E10" s="485" t="s">
        <v>352</v>
      </c>
      <c r="F10" s="486"/>
      <c r="G10" s="157">
        <v>8</v>
      </c>
      <c r="H10" s="505"/>
      <c r="I10" s="510"/>
      <c r="J10" s="511"/>
      <c r="K10" s="523"/>
      <c r="M10" s="12"/>
    </row>
    <row r="11" spans="2:13" ht="16" customHeight="1" x14ac:dyDescent="0.2">
      <c r="B11" s="494"/>
      <c r="C11" s="526"/>
      <c r="D11" s="501"/>
      <c r="E11" s="485" t="s">
        <v>353</v>
      </c>
      <c r="F11" s="486"/>
      <c r="G11" s="157">
        <v>10</v>
      </c>
      <c r="H11" s="505"/>
      <c r="I11" s="520"/>
      <c r="J11" s="521"/>
      <c r="K11" s="523"/>
      <c r="M11" s="12"/>
    </row>
    <row r="12" spans="2:13" ht="16" customHeight="1" x14ac:dyDescent="0.2">
      <c r="B12" s="494"/>
      <c r="C12" s="537" t="s">
        <v>617</v>
      </c>
      <c r="D12" s="501">
        <v>10</v>
      </c>
      <c r="E12" s="485" t="s">
        <v>258</v>
      </c>
      <c r="F12" s="486"/>
      <c r="G12" s="158">
        <v>5</v>
      </c>
      <c r="H12" s="505">
        <f>IF('Customer Details'!C51="Parental",7,IF('Customer Details'!C51="Rented",5,IF('Customer Details'!C51="Owned",10,0)))</f>
        <v>5</v>
      </c>
      <c r="I12" s="508" t="s">
        <v>88</v>
      </c>
      <c r="J12" s="509"/>
      <c r="K12" s="523" t="s">
        <v>273</v>
      </c>
      <c r="M12" s="12"/>
    </row>
    <row r="13" spans="2:13" x14ac:dyDescent="0.2">
      <c r="B13" s="494"/>
      <c r="C13" s="537"/>
      <c r="D13" s="501"/>
      <c r="E13" s="485" t="s">
        <v>259</v>
      </c>
      <c r="F13" s="486"/>
      <c r="G13" s="158">
        <v>10</v>
      </c>
      <c r="H13" s="505"/>
      <c r="I13" s="510"/>
      <c r="J13" s="511"/>
      <c r="K13" s="523"/>
      <c r="M13" s="12"/>
    </row>
    <row r="14" spans="2:13" x14ac:dyDescent="0.2">
      <c r="B14" s="494"/>
      <c r="C14" s="537"/>
      <c r="D14" s="501"/>
      <c r="E14" s="485" t="s">
        <v>124</v>
      </c>
      <c r="F14" s="486"/>
      <c r="G14" s="158">
        <v>7</v>
      </c>
      <c r="H14" s="505"/>
      <c r="I14" s="510"/>
      <c r="J14" s="511"/>
      <c r="K14" s="523"/>
      <c r="M14" s="12"/>
    </row>
    <row r="15" spans="2:13" x14ac:dyDescent="0.2">
      <c r="B15" s="494"/>
      <c r="C15" s="490" t="s">
        <v>354</v>
      </c>
      <c r="D15" s="487">
        <v>5</v>
      </c>
      <c r="E15" s="485" t="s">
        <v>125</v>
      </c>
      <c r="F15" s="486"/>
      <c r="G15" s="158">
        <v>1</v>
      </c>
      <c r="H15" s="506">
        <f>IF('Customer Details'!C46="Proprietorship",1,IF('Customer Details'!C46="Partnership",3,IF('Customer Details'!C46="Company",5,0)))</f>
        <v>1</v>
      </c>
      <c r="I15" s="508" t="s">
        <v>768</v>
      </c>
      <c r="J15" s="509"/>
      <c r="K15" s="514" t="s">
        <v>366</v>
      </c>
      <c r="M15" s="12"/>
    </row>
    <row r="16" spans="2:13" x14ac:dyDescent="0.2">
      <c r="B16" s="494"/>
      <c r="C16" s="491"/>
      <c r="D16" s="488"/>
      <c r="E16" s="485" t="s">
        <v>126</v>
      </c>
      <c r="F16" s="486"/>
      <c r="G16" s="158">
        <v>3</v>
      </c>
      <c r="H16" s="517"/>
      <c r="I16" s="510"/>
      <c r="J16" s="511"/>
      <c r="K16" s="515"/>
      <c r="M16" s="12"/>
    </row>
    <row r="17" spans="2:13" ht="18" customHeight="1" x14ac:dyDescent="0.2">
      <c r="B17" s="494"/>
      <c r="C17" s="492"/>
      <c r="D17" s="489"/>
      <c r="E17" s="485" t="s">
        <v>127</v>
      </c>
      <c r="F17" s="486"/>
      <c r="G17" s="158">
        <v>5</v>
      </c>
      <c r="H17" s="518"/>
      <c r="I17" s="510"/>
      <c r="J17" s="511"/>
      <c r="K17" s="522"/>
      <c r="M17" s="12"/>
    </row>
    <row r="18" spans="2:13" ht="16" customHeight="1" x14ac:dyDescent="0.2">
      <c r="B18" s="494"/>
      <c r="C18" s="491" t="s">
        <v>260</v>
      </c>
      <c r="D18" s="501">
        <v>10</v>
      </c>
      <c r="E18" s="485" t="s">
        <v>261</v>
      </c>
      <c r="F18" s="486"/>
      <c r="G18" s="156">
        <v>5</v>
      </c>
      <c r="H18" s="505">
        <f>IF('Customer Details'!C17="No",5,IF('Customer Details'!C17="Yes",10,0))</f>
        <v>5</v>
      </c>
      <c r="I18" s="508" t="s">
        <v>635</v>
      </c>
      <c r="J18" s="509"/>
      <c r="K18" s="523" t="s">
        <v>272</v>
      </c>
      <c r="M18" s="12"/>
    </row>
    <row r="19" spans="2:13" ht="28" customHeight="1" x14ac:dyDescent="0.2">
      <c r="B19" s="494"/>
      <c r="C19" s="492"/>
      <c r="D19" s="501"/>
      <c r="E19" s="485" t="s">
        <v>262</v>
      </c>
      <c r="F19" s="486"/>
      <c r="G19" s="157">
        <v>10</v>
      </c>
      <c r="H19" s="505"/>
      <c r="I19" s="510"/>
      <c r="J19" s="511"/>
      <c r="K19" s="523"/>
      <c r="M19" s="12"/>
    </row>
    <row r="20" spans="2:13" ht="16" customHeight="1" x14ac:dyDescent="0.2">
      <c r="B20" s="493" t="s">
        <v>650</v>
      </c>
      <c r="C20" s="490" t="s">
        <v>252</v>
      </c>
      <c r="D20" s="501">
        <v>10</v>
      </c>
      <c r="E20" s="485" t="s">
        <v>624</v>
      </c>
      <c r="F20" s="486"/>
      <c r="G20" s="156">
        <v>10</v>
      </c>
      <c r="H20" s="505">
        <f>IF(OR('Output Sheet &lt;=$50000'!E58=0,
       ISBLANK('Output Sheet &lt;=$50000'!E58),
       'Output Sheet &lt;=$50000'!E58="",
       NOT(ISNUMBER('Output Sheet &lt;=$50000'!E58))),
    0,
    IF(AND('Output Sheet &lt;=$50000'!E58 &gt; 0, 'Output Sheet &lt;=$50000'!E58 &lt;= 0.4),
        10,
        IF(AND('Output Sheet &lt;=$50000'!E58 &gt; 0.4, 'Output Sheet &lt;=$50000'!E58 &lt;= 0.45),
            8,
            IF(AND('Output Sheet &lt;=$50000'!E58 &gt; 0.45, 'Output Sheet &lt;=$50000'!E58 &lt;= 0.5),
                6,
                2))))</f>
        <v>10</v>
      </c>
      <c r="I20" s="538">
        <v>0.16600000000000001</v>
      </c>
      <c r="J20" s="509"/>
      <c r="K20" s="514" t="s">
        <v>638</v>
      </c>
    </row>
    <row r="21" spans="2:13" ht="16" customHeight="1" x14ac:dyDescent="0.2">
      <c r="B21" s="494"/>
      <c r="C21" s="491"/>
      <c r="D21" s="501"/>
      <c r="E21" s="485" t="s">
        <v>357</v>
      </c>
      <c r="F21" s="486"/>
      <c r="G21" s="156">
        <v>8</v>
      </c>
      <c r="H21" s="505"/>
      <c r="I21" s="510"/>
      <c r="J21" s="511"/>
      <c r="K21" s="515"/>
    </row>
    <row r="22" spans="2:13" ht="16" customHeight="1" x14ac:dyDescent="0.2">
      <c r="B22" s="494"/>
      <c r="C22" s="491"/>
      <c r="D22" s="501"/>
      <c r="E22" s="485" t="s">
        <v>625</v>
      </c>
      <c r="F22" s="486"/>
      <c r="G22" s="157">
        <v>6</v>
      </c>
      <c r="H22" s="505"/>
      <c r="I22" s="510"/>
      <c r="J22" s="511"/>
      <c r="K22" s="515"/>
    </row>
    <row r="23" spans="2:13" ht="16" customHeight="1" x14ac:dyDescent="0.2">
      <c r="B23" s="494"/>
      <c r="C23" s="492"/>
      <c r="D23" s="501"/>
      <c r="E23" s="485" t="s">
        <v>626</v>
      </c>
      <c r="F23" s="486"/>
      <c r="G23" s="157">
        <v>3</v>
      </c>
      <c r="H23" s="505"/>
      <c r="I23" s="520"/>
      <c r="J23" s="521"/>
      <c r="K23" s="522"/>
    </row>
    <row r="24" spans="2:13" ht="16" customHeight="1" x14ac:dyDescent="0.2">
      <c r="B24" s="494"/>
      <c r="C24" s="490" t="s">
        <v>481</v>
      </c>
      <c r="D24" s="487">
        <v>10</v>
      </c>
      <c r="E24" s="485" t="s">
        <v>630</v>
      </c>
      <c r="F24" s="486"/>
      <c r="G24" s="363">
        <v>3</v>
      </c>
      <c r="H24" s="506">
        <f>IF(OR('Financial Analysis &gt;$50000'!B91=0,
ISBLANK('Financial Analysis &gt;$50000'!B91),
'Financial Analysis &gt;$50000'!B91="",
NOT(ISNUMBER('Financial Analysis &gt;$50000'!B91))),
0,
IF(AND('Financial Analysis &gt;$50000'!B91&gt;=1.2,'Financial Analysis &gt;$50000'!B91&lt;=1.33),
3,
IF(AND('Financial Analysis &gt;$50000'!B91&gt;=1.34,'Financial Analysis &gt;$50000'!B91&lt;=1.5),
6,
IF(AND('Financial Analysis &gt;$50000'!B91&gt;=1.51,'Financial Analysis &gt;$50000'!B91&lt;=1.75),
8,
IF('Financial Analysis &gt;$50000'!B91&gt;1.75,
10,
0)))))</f>
        <v>0</v>
      </c>
      <c r="I24" s="508" t="s">
        <v>196</v>
      </c>
      <c r="J24" s="509"/>
      <c r="K24" s="514" t="s">
        <v>637</v>
      </c>
    </row>
    <row r="25" spans="2:13" ht="16" customHeight="1" x14ac:dyDescent="0.2">
      <c r="B25" s="494"/>
      <c r="C25" s="491"/>
      <c r="D25" s="488"/>
      <c r="E25" s="485" t="s">
        <v>627</v>
      </c>
      <c r="F25" s="486"/>
      <c r="G25" s="362">
        <v>6</v>
      </c>
      <c r="H25" s="517"/>
      <c r="I25" s="510"/>
      <c r="J25" s="511"/>
      <c r="K25" s="515"/>
    </row>
    <row r="26" spans="2:13" ht="16" customHeight="1" x14ac:dyDescent="0.2">
      <c r="B26" s="494"/>
      <c r="C26" s="491"/>
      <c r="D26" s="488"/>
      <c r="E26" s="485" t="s">
        <v>628</v>
      </c>
      <c r="F26" s="486"/>
      <c r="G26" s="362">
        <v>8</v>
      </c>
      <c r="H26" s="517"/>
      <c r="I26" s="510"/>
      <c r="J26" s="511"/>
      <c r="K26" s="515"/>
    </row>
    <row r="27" spans="2:13" ht="16" customHeight="1" x14ac:dyDescent="0.2">
      <c r="B27" s="494"/>
      <c r="C27" s="492"/>
      <c r="D27" s="489"/>
      <c r="E27" s="485" t="s">
        <v>629</v>
      </c>
      <c r="F27" s="486"/>
      <c r="G27" s="362">
        <v>10</v>
      </c>
      <c r="H27" s="518"/>
      <c r="I27" s="520"/>
      <c r="J27" s="521"/>
      <c r="K27" s="522"/>
    </row>
    <row r="28" spans="2:13" ht="16" customHeight="1" x14ac:dyDescent="0.2">
      <c r="B28" s="494"/>
      <c r="C28" s="479" t="s">
        <v>618</v>
      </c>
      <c r="D28" s="482">
        <v>10</v>
      </c>
      <c r="E28" s="485" t="s">
        <v>623</v>
      </c>
      <c r="F28" s="486"/>
      <c r="G28" s="362">
        <v>10</v>
      </c>
      <c r="H28" s="506">
        <f>IF(OR('Customer Details'!C71=0,
ISBLANK('Customer Details'!C71),
'Customer Details'!C71="",
NOT(ISNUMBER('Customer Details'!C71))),
0,
IF(AND('Customer Details'!C71&gt;0,'Customer Details'!C71&lt;40%),
10,
IF(AND('Customer Details'!C71&gt;=40%,'Customer Details'!C71&lt;=50%),
8,
IF(AND('Customer Details'!C71&gt;=51%,'Customer Details'!C71&lt;=60%),
6,IF(AND('Customer Details'!C71&gt;=61%,'Customer Details'!C71&lt;=70%),
4,
2)))))</f>
        <v>10</v>
      </c>
      <c r="I28" s="540">
        <v>0.17</v>
      </c>
      <c r="J28" s="536"/>
      <c r="K28" s="523" t="s">
        <v>639</v>
      </c>
    </row>
    <row r="29" spans="2:13" ht="16" customHeight="1" x14ac:dyDescent="0.2">
      <c r="B29" s="494"/>
      <c r="C29" s="480"/>
      <c r="D29" s="483"/>
      <c r="E29" s="485" t="s">
        <v>622</v>
      </c>
      <c r="F29" s="486"/>
      <c r="G29" s="362">
        <v>8</v>
      </c>
      <c r="H29" s="517"/>
      <c r="I29" s="535"/>
      <c r="J29" s="536"/>
      <c r="K29" s="523"/>
    </row>
    <row r="30" spans="2:13" ht="16" customHeight="1" x14ac:dyDescent="0.2">
      <c r="B30" s="494"/>
      <c r="C30" s="480"/>
      <c r="D30" s="483"/>
      <c r="E30" s="485" t="s">
        <v>621</v>
      </c>
      <c r="F30" s="486"/>
      <c r="G30" s="362">
        <v>6</v>
      </c>
      <c r="H30" s="517"/>
      <c r="I30" s="535"/>
      <c r="J30" s="536"/>
      <c r="K30" s="523"/>
    </row>
    <row r="31" spans="2:13" ht="16" customHeight="1" x14ac:dyDescent="0.2">
      <c r="B31" s="494"/>
      <c r="C31" s="480"/>
      <c r="D31" s="483"/>
      <c r="E31" s="485" t="s">
        <v>619</v>
      </c>
      <c r="F31" s="486"/>
      <c r="G31" s="362">
        <v>4</v>
      </c>
      <c r="H31" s="517"/>
      <c r="I31" s="535"/>
      <c r="J31" s="536"/>
      <c r="K31" s="523"/>
    </row>
    <row r="32" spans="2:13" ht="16" customHeight="1" x14ac:dyDescent="0.2">
      <c r="B32" s="494"/>
      <c r="C32" s="481"/>
      <c r="D32" s="484"/>
      <c r="E32" s="485" t="s">
        <v>620</v>
      </c>
      <c r="F32" s="486"/>
      <c r="G32" s="362">
        <v>2</v>
      </c>
      <c r="H32" s="518"/>
      <c r="I32" s="535"/>
      <c r="J32" s="536"/>
      <c r="K32" s="523"/>
    </row>
    <row r="33" spans="2:11" ht="16" customHeight="1" x14ac:dyDescent="0.2">
      <c r="B33" s="494"/>
      <c r="C33" s="490" t="s">
        <v>616</v>
      </c>
      <c r="D33" s="482">
        <v>10</v>
      </c>
      <c r="E33" s="485" t="s">
        <v>264</v>
      </c>
      <c r="F33" s="486"/>
      <c r="G33" s="158">
        <v>3</v>
      </c>
      <c r="H33" s="506">
        <f>IF(AND(ISNUMBER('Output Sheet &lt;=$50000'!I22), 'Output Sheet &lt;=$50000'!I22&lt;&gt;0),
    IF('Output Sheet &lt;=$50000'!I22&gt; 0.3, 10, IF(AND('Output Sheet &lt;=$50000'!I22&gt;=0.21,'Output Sheet &lt;=$50000'!I22&lt;=0.3), 8, IF(AND('Output Sheet &lt;=$50000'!I22&gt;=0.11,'Output Sheet &lt;=$50000'!I22&lt;=0.2), 5, 3))),
    IF(AND(ISNUMBER('Financial Analysis &gt;$50000'!B85),'Financial Analysis &gt;$50000'!B85&lt;&gt;0),
       IF('Financial Analysis &gt;$50000'!B85&gt; 0.3, 10, IF(AND('Financial Analysis &gt;$50000'!B85&gt;=0.21,'Financial Analysis &gt;$50000'!B85&lt;=0.3), 8, IF(AND('Financial Analysis &gt;$50000'!B85&gt;=0.11,'Financial Analysis &gt;$50000'!B85&lt;=0.2), 5, 3))),
        0))</f>
        <v>10</v>
      </c>
      <c r="I33" s="539">
        <v>0.39</v>
      </c>
      <c r="J33" s="511"/>
      <c r="K33" s="515" t="s">
        <v>274</v>
      </c>
    </row>
    <row r="34" spans="2:11" ht="16" customHeight="1" x14ac:dyDescent="0.2">
      <c r="B34" s="494"/>
      <c r="C34" s="491"/>
      <c r="D34" s="483"/>
      <c r="E34" s="485" t="s">
        <v>265</v>
      </c>
      <c r="F34" s="486"/>
      <c r="G34" s="158">
        <v>5</v>
      </c>
      <c r="H34" s="517"/>
      <c r="I34" s="510"/>
      <c r="J34" s="511"/>
      <c r="K34" s="515"/>
    </row>
    <row r="35" spans="2:11" x14ac:dyDescent="0.2">
      <c r="B35" s="494"/>
      <c r="C35" s="491"/>
      <c r="D35" s="483"/>
      <c r="E35" s="485" t="s">
        <v>263</v>
      </c>
      <c r="F35" s="486"/>
      <c r="G35" s="158">
        <v>8</v>
      </c>
      <c r="H35" s="517"/>
      <c r="I35" s="510"/>
      <c r="J35" s="511"/>
      <c r="K35" s="515"/>
    </row>
    <row r="36" spans="2:11" x14ac:dyDescent="0.2">
      <c r="B36" s="494"/>
      <c r="C36" s="492"/>
      <c r="D36" s="484"/>
      <c r="E36" s="485" t="s">
        <v>266</v>
      </c>
      <c r="F36" s="486"/>
      <c r="G36" s="158">
        <v>10</v>
      </c>
      <c r="H36" s="518"/>
      <c r="I36" s="520"/>
      <c r="J36" s="521"/>
      <c r="K36" s="522"/>
    </row>
    <row r="37" spans="2:11" ht="16" customHeight="1" x14ac:dyDescent="0.2">
      <c r="B37" s="494"/>
      <c r="C37" s="524" t="s">
        <v>253</v>
      </c>
      <c r="D37" s="482">
        <v>10</v>
      </c>
      <c r="E37" s="485" t="s">
        <v>267</v>
      </c>
      <c r="F37" s="486"/>
      <c r="G37" s="157">
        <v>10</v>
      </c>
      <c r="H37" s="506">
        <f>IF(AND(ISNUMBER('Output Sheet &lt;=$50000'!I29), 'Output Sheet &lt;=$50000'!I29&lt;&gt;0),
    IF('Output Sheet &lt;=$50000'!I29&lt;30, 10, IF(AND('Output Sheet &lt;=$50000'!I29&gt;=31,'Output Sheet &lt;=$50000'!I29&lt;=60), 7, IF(AND('Output Sheet &lt;=$50000'!I29&gt;=61,'Output Sheet &lt;=$50000'!I29&lt;=90), 5, 2))),
    IF(AND(ISNUMBER('Financial Analysis &gt;$50000'!B89),'Financial Analysis &gt;$50000'!B89&lt;&gt;0),
        IF('Financial Analysis &gt;$50000'!B89&lt;30, 10, IF(AND('Financial Analysis &gt;$50000'!B89&gt;=31,'Financial Analysis &gt;$50000'!B89&lt;=60), 7, IF(AND('Financial Analysis &gt;$50000'!B89&gt;=61,'Financial Analysis &gt;$50000'!B89&lt;=90), 5, 2))),
        0))</f>
        <v>2</v>
      </c>
      <c r="I37" s="510">
        <v>131</v>
      </c>
      <c r="J37" s="511"/>
      <c r="K37" s="514" t="s">
        <v>241</v>
      </c>
    </row>
    <row r="38" spans="2:11" ht="16" customHeight="1" x14ac:dyDescent="0.2">
      <c r="B38" s="494"/>
      <c r="C38" s="525"/>
      <c r="D38" s="483"/>
      <c r="E38" s="527" t="s">
        <v>268</v>
      </c>
      <c r="F38" s="528"/>
      <c r="G38" s="157">
        <v>7</v>
      </c>
      <c r="H38" s="517"/>
      <c r="I38" s="510"/>
      <c r="J38" s="511"/>
      <c r="K38" s="515"/>
    </row>
    <row r="39" spans="2:11" ht="16" customHeight="1" x14ac:dyDescent="0.2">
      <c r="B39" s="494"/>
      <c r="C39" s="525"/>
      <c r="D39" s="483"/>
      <c r="E39" s="527" t="s">
        <v>269</v>
      </c>
      <c r="F39" s="528"/>
      <c r="G39" s="157">
        <v>5</v>
      </c>
      <c r="H39" s="517"/>
      <c r="I39" s="510"/>
      <c r="J39" s="511"/>
      <c r="K39" s="515"/>
    </row>
    <row r="40" spans="2:11" ht="16" customHeight="1" x14ac:dyDescent="0.2">
      <c r="B40" s="494"/>
      <c r="C40" s="526"/>
      <c r="D40" s="484"/>
      <c r="E40" s="485" t="s">
        <v>270</v>
      </c>
      <c r="F40" s="486"/>
      <c r="G40" s="157">
        <v>2</v>
      </c>
      <c r="H40" s="518"/>
      <c r="I40" s="520"/>
      <c r="J40" s="521"/>
      <c r="K40" s="522"/>
    </row>
    <row r="41" spans="2:11" ht="16" customHeight="1" x14ac:dyDescent="0.2">
      <c r="B41" s="494"/>
      <c r="C41" s="490" t="s">
        <v>358</v>
      </c>
      <c r="D41" s="482">
        <v>10</v>
      </c>
      <c r="E41" s="485" t="s">
        <v>359</v>
      </c>
      <c r="F41" s="486"/>
      <c r="G41" s="157">
        <v>10</v>
      </c>
      <c r="H41" s="506">
        <f>IF(AND(ISNUMBER('Customer Details'!C72), 'Customer Details'!C72&lt;&gt;0),
    IF('Customer Details'!C72&gt;0.4,
        10,
        IF(AND('Customer Details'!C72&gt;=0.36,'Customer Details'!C72&lt;=0.4),
            8,
            IF(AND('Customer Details'!C72&gt;=0.31,'Customer Details'!C72&lt;=0.35),
                6,
                IF(AND('Customer Details'!C72&gt;=0.25,'Customer Details'!C72&lt;=0.3),
                    4,
                    2)))),
    IF(AND(ISNUMBER('Financial Analysis &gt;$50000'!I104), 'Financial Analysis &gt;$50000'!I104&lt;&gt;0),
        IF('Financial Analysis &gt;$50000'!I104&gt;0.4,
            10,
            IF(AND('Financial Analysis &gt;$50000'!I104&gt;=0.36,'Financial Analysis &gt;$50000'!I104&lt;=0.4),
                8,
                IF(AND('Financial Analysis &gt;$50000'!I104&gt;=0.31,'Financial Analysis &gt;$50000'!I104&lt;=0.35),
                    6,
                    IF(AND('Financial Analysis &gt;$50000'!I104&gt;=0.25,'Financial Analysis &gt;$50000'!I104&lt;=0.3),
                        4,
                        2)))),
        0))</f>
        <v>10</v>
      </c>
      <c r="I41" s="519">
        <v>0.56999999999999995</v>
      </c>
      <c r="J41" s="509"/>
      <c r="K41" s="514" t="s">
        <v>367</v>
      </c>
    </row>
    <row r="42" spans="2:11" ht="15" customHeight="1" x14ac:dyDescent="0.2">
      <c r="B42" s="494"/>
      <c r="C42" s="491"/>
      <c r="D42" s="483"/>
      <c r="E42" s="485" t="s">
        <v>356</v>
      </c>
      <c r="F42" s="486"/>
      <c r="G42" s="157">
        <v>8</v>
      </c>
      <c r="H42" s="517"/>
      <c r="I42" s="510"/>
      <c r="J42" s="511"/>
      <c r="K42" s="515"/>
    </row>
    <row r="43" spans="2:11" ht="15" customHeight="1" x14ac:dyDescent="0.2">
      <c r="B43" s="494"/>
      <c r="C43" s="491"/>
      <c r="D43" s="483"/>
      <c r="E43" s="485" t="s">
        <v>355</v>
      </c>
      <c r="F43" s="486"/>
      <c r="G43" s="157">
        <v>6</v>
      </c>
      <c r="H43" s="517"/>
      <c r="I43" s="510"/>
      <c r="J43" s="511"/>
      <c r="K43" s="515"/>
    </row>
    <row r="44" spans="2:11" ht="15" customHeight="1" x14ac:dyDescent="0.2">
      <c r="B44" s="494"/>
      <c r="C44" s="491"/>
      <c r="D44" s="483"/>
      <c r="E44" s="485" t="s">
        <v>360</v>
      </c>
      <c r="F44" s="486"/>
      <c r="G44" s="157">
        <v>4</v>
      </c>
      <c r="H44" s="517"/>
      <c r="I44" s="510"/>
      <c r="J44" s="511"/>
      <c r="K44" s="515"/>
    </row>
    <row r="45" spans="2:11" ht="15" customHeight="1" x14ac:dyDescent="0.2">
      <c r="B45" s="494"/>
      <c r="C45" s="492"/>
      <c r="D45" s="484"/>
      <c r="E45" s="485" t="s">
        <v>361</v>
      </c>
      <c r="F45" s="486"/>
      <c r="G45" s="157">
        <v>2</v>
      </c>
      <c r="H45" s="518"/>
      <c r="I45" s="520"/>
      <c r="J45" s="521"/>
      <c r="K45" s="522"/>
    </row>
    <row r="46" spans="2:11" ht="30" customHeight="1" x14ac:dyDescent="0.2">
      <c r="B46" s="494"/>
      <c r="C46" s="490" t="s">
        <v>633</v>
      </c>
      <c r="D46" s="501">
        <v>5</v>
      </c>
      <c r="E46" s="503" t="s">
        <v>671</v>
      </c>
      <c r="F46" s="504"/>
      <c r="G46" s="158">
        <v>5</v>
      </c>
      <c r="H46" s="505">
        <f>IF('Customer Details'!C20="Yes",5,IF('Customer Details'!C21="Yes",2,IF('Customer Details'!C22="No",3,0)))</f>
        <v>3</v>
      </c>
      <c r="I46" s="508" t="s">
        <v>643</v>
      </c>
      <c r="J46" s="509"/>
      <c r="K46" s="514" t="s">
        <v>642</v>
      </c>
    </row>
    <row r="47" spans="2:11" ht="31" customHeight="1" x14ac:dyDescent="0.2">
      <c r="B47" s="494"/>
      <c r="C47" s="491"/>
      <c r="D47" s="482"/>
      <c r="E47" s="503" t="s">
        <v>672</v>
      </c>
      <c r="F47" s="504"/>
      <c r="G47" s="159">
        <v>2</v>
      </c>
      <c r="H47" s="506"/>
      <c r="I47" s="510"/>
      <c r="J47" s="511"/>
      <c r="K47" s="515"/>
    </row>
    <row r="48" spans="2:11" ht="17" customHeight="1" thickBot="1" x14ac:dyDescent="0.25">
      <c r="B48" s="495"/>
      <c r="C48" s="492"/>
      <c r="D48" s="502"/>
      <c r="E48" s="503" t="s">
        <v>632</v>
      </c>
      <c r="F48" s="504"/>
      <c r="G48" s="160">
        <v>3</v>
      </c>
      <c r="H48" s="507"/>
      <c r="I48" s="512"/>
      <c r="J48" s="513"/>
      <c r="K48" s="516"/>
    </row>
    <row r="49" spans="2:11" x14ac:dyDescent="0.2">
      <c r="B49" s="94" t="s">
        <v>242</v>
      </c>
      <c r="C49" s="95"/>
      <c r="D49" s="96">
        <f>SUM(D4:D48)-10</f>
        <v>100</v>
      </c>
      <c r="E49" s="95"/>
      <c r="F49" s="95"/>
      <c r="G49" s="95"/>
      <c r="H49" s="97">
        <f ca="1">SUM(H4:H48)</f>
        <v>66</v>
      </c>
      <c r="I49" s="496" t="str">
        <f ca="1">IF(H49&lt;63,"Highest Risk",IF(H49&lt;=68,"High Risk",IF(H49&lt;=75,"Moderate Risk",IF(H49&lt;=81,"Low Risk","Lowest Risk"))))</f>
        <v>High Risk</v>
      </c>
      <c r="J49" s="496"/>
    </row>
    <row r="50" spans="2:11" x14ac:dyDescent="0.2">
      <c r="I50" s="12"/>
      <c r="J50" s="12"/>
    </row>
    <row r="51" spans="2:11" ht="17" thickBot="1" x14ac:dyDescent="0.25"/>
    <row r="52" spans="2:11" x14ac:dyDescent="0.2">
      <c r="F52" s="83" t="s">
        <v>243</v>
      </c>
      <c r="G52" s="84" t="s">
        <v>702</v>
      </c>
      <c r="J52" s="497" t="s">
        <v>250</v>
      </c>
      <c r="K52" s="498"/>
    </row>
    <row r="53" spans="2:11" ht="17" thickBot="1" x14ac:dyDescent="0.25">
      <c r="D53" s="161" t="s">
        <v>244</v>
      </c>
      <c r="E53" s="364">
        <f>G6+G11+G13+G17+G19+G20+G36+G37+G41+G46+G28</f>
        <v>100</v>
      </c>
      <c r="F53" s="85" t="s">
        <v>245</v>
      </c>
      <c r="G53" s="86" t="s">
        <v>703</v>
      </c>
      <c r="J53" s="499" t="s">
        <v>655</v>
      </c>
      <c r="K53" s="500"/>
    </row>
    <row r="54" spans="2:11" ht="17" thickBot="1" x14ac:dyDescent="0.25">
      <c r="D54" s="162" t="s">
        <v>246</v>
      </c>
      <c r="E54" s="365">
        <f>G4+G8+G12+G15+G18+G23+G33+G40+G45+G47+G32</f>
        <v>30</v>
      </c>
      <c r="F54" s="87" t="s">
        <v>247</v>
      </c>
      <c r="G54" s="88" t="s">
        <v>704</v>
      </c>
      <c r="J54" s="499" t="s">
        <v>631</v>
      </c>
      <c r="K54" s="500"/>
    </row>
    <row r="55" spans="2:11" ht="17" thickBot="1" x14ac:dyDescent="0.25">
      <c r="F55" s="89" t="s">
        <v>248</v>
      </c>
      <c r="G55" s="90" t="s">
        <v>705</v>
      </c>
      <c r="J55" s="499" t="s">
        <v>362</v>
      </c>
      <c r="K55" s="500"/>
    </row>
    <row r="56" spans="2:11" ht="17" thickBot="1" x14ac:dyDescent="0.25">
      <c r="F56" s="91" t="s">
        <v>249</v>
      </c>
      <c r="G56" s="92" t="s">
        <v>706</v>
      </c>
    </row>
    <row r="58" spans="2:11" ht="18" customHeight="1" thickBot="1" x14ac:dyDescent="0.25">
      <c r="J58" s="429" t="s">
        <v>286</v>
      </c>
      <c r="K58" s="429"/>
    </row>
    <row r="59" spans="2:11" ht="17" x14ac:dyDescent="0.2">
      <c r="J59" s="163" t="s">
        <v>279</v>
      </c>
      <c r="K59" s="82" t="s">
        <v>280</v>
      </c>
    </row>
    <row r="60" spans="2:11" ht="16" customHeight="1" x14ac:dyDescent="0.2">
      <c r="J60" s="164" t="s">
        <v>281</v>
      </c>
      <c r="K60" s="514" t="s">
        <v>282</v>
      </c>
    </row>
    <row r="61" spans="2:11" ht="16" customHeight="1" x14ac:dyDescent="0.2">
      <c r="J61" s="164" t="s">
        <v>283</v>
      </c>
      <c r="K61" s="515"/>
    </row>
    <row r="62" spans="2:11" ht="17" thickBot="1" x14ac:dyDescent="0.25">
      <c r="J62" s="165" t="s">
        <v>284</v>
      </c>
      <c r="K62" s="516"/>
    </row>
    <row r="63" spans="2:11" ht="17" thickBot="1" x14ac:dyDescent="0.25"/>
    <row r="64" spans="2:11" ht="103" thickBot="1" x14ac:dyDescent="0.25">
      <c r="J64" s="166" t="s">
        <v>285</v>
      </c>
      <c r="K64" s="93" t="s">
        <v>287</v>
      </c>
    </row>
  </sheetData>
  <mergeCells count="116">
    <mergeCell ref="K60:K62"/>
    <mergeCell ref="J55:K55"/>
    <mergeCell ref="D15:D17"/>
    <mergeCell ref="I15:J17"/>
    <mergeCell ref="K15:K17"/>
    <mergeCell ref="E45:F45"/>
    <mergeCell ref="H15:H17"/>
    <mergeCell ref="K20:K23"/>
    <mergeCell ref="K37:K40"/>
    <mergeCell ref="H37:H40"/>
    <mergeCell ref="I37:J40"/>
    <mergeCell ref="K41:K45"/>
    <mergeCell ref="E42:F42"/>
    <mergeCell ref="E43:F43"/>
    <mergeCell ref="E44:F44"/>
    <mergeCell ref="E47:F47"/>
    <mergeCell ref="H33:H36"/>
    <mergeCell ref="K33:K36"/>
    <mergeCell ref="I33:J36"/>
    <mergeCell ref="E36:F36"/>
    <mergeCell ref="E34:F34"/>
    <mergeCell ref="I28:J32"/>
    <mergeCell ref="K28:K32"/>
    <mergeCell ref="H24:H27"/>
    <mergeCell ref="H28:H32"/>
    <mergeCell ref="E22:F22"/>
    <mergeCell ref="E23:F23"/>
    <mergeCell ref="E21:F21"/>
    <mergeCell ref="I12:J14"/>
    <mergeCell ref="K12:K14"/>
    <mergeCell ref="E13:F13"/>
    <mergeCell ref="E14:F14"/>
    <mergeCell ref="H20:H23"/>
    <mergeCell ref="I20:J23"/>
    <mergeCell ref="E3:F3"/>
    <mergeCell ref="I3:J3"/>
    <mergeCell ref="C4:C7"/>
    <mergeCell ref="D4:D7"/>
    <mergeCell ref="E4:F4"/>
    <mergeCell ref="H4:H7"/>
    <mergeCell ref="I4:J7"/>
    <mergeCell ref="E6:F6"/>
    <mergeCell ref="C12:C14"/>
    <mergeCell ref="D12:D14"/>
    <mergeCell ref="E12:F12"/>
    <mergeCell ref="K4:K7"/>
    <mergeCell ref="E5:F5"/>
    <mergeCell ref="E7:F7"/>
    <mergeCell ref="C8:C11"/>
    <mergeCell ref="D8:D11"/>
    <mergeCell ref="E8:F8"/>
    <mergeCell ref="H8:H11"/>
    <mergeCell ref="I8:J11"/>
    <mergeCell ref="K8:K11"/>
    <mergeCell ref="E9:F9"/>
    <mergeCell ref="E11:F11"/>
    <mergeCell ref="E10:F10"/>
    <mergeCell ref="C37:C40"/>
    <mergeCell ref="C33:C36"/>
    <mergeCell ref="D33:D36"/>
    <mergeCell ref="E33:F33"/>
    <mergeCell ref="E38:F38"/>
    <mergeCell ref="E39:F39"/>
    <mergeCell ref="E40:F40"/>
    <mergeCell ref="D37:D40"/>
    <mergeCell ref="E37:F37"/>
    <mergeCell ref="E35:F35"/>
    <mergeCell ref="C18:C19"/>
    <mergeCell ref="D18:D19"/>
    <mergeCell ref="E18:F18"/>
    <mergeCell ref="H18:H19"/>
    <mergeCell ref="I18:J19"/>
    <mergeCell ref="H12:H14"/>
    <mergeCell ref="K18:K19"/>
    <mergeCell ref="E19:F19"/>
    <mergeCell ref="E15:F15"/>
    <mergeCell ref="E16:F16"/>
    <mergeCell ref="E17:F17"/>
    <mergeCell ref="C15:C17"/>
    <mergeCell ref="B4:B19"/>
    <mergeCell ref="B20:B48"/>
    <mergeCell ref="B1:F1"/>
    <mergeCell ref="I49:J49"/>
    <mergeCell ref="J52:K52"/>
    <mergeCell ref="J53:K53"/>
    <mergeCell ref="J54:K54"/>
    <mergeCell ref="C46:C48"/>
    <mergeCell ref="D46:D48"/>
    <mergeCell ref="E46:F46"/>
    <mergeCell ref="H46:H48"/>
    <mergeCell ref="I46:J48"/>
    <mergeCell ref="K46:K48"/>
    <mergeCell ref="E48:F48"/>
    <mergeCell ref="C41:C45"/>
    <mergeCell ref="D41:D45"/>
    <mergeCell ref="E41:F41"/>
    <mergeCell ref="H41:H45"/>
    <mergeCell ref="I41:J45"/>
    <mergeCell ref="C20:C23"/>
    <mergeCell ref="D20:D23"/>
    <mergeCell ref="E20:F20"/>
    <mergeCell ref="I24:J27"/>
    <mergeCell ref="K24:K27"/>
    <mergeCell ref="C28:C32"/>
    <mergeCell ref="D28:D32"/>
    <mergeCell ref="E28:F28"/>
    <mergeCell ref="E29:F29"/>
    <mergeCell ref="E30:F30"/>
    <mergeCell ref="E31:F31"/>
    <mergeCell ref="E32:F32"/>
    <mergeCell ref="D24:D27"/>
    <mergeCell ref="C24:C27"/>
    <mergeCell ref="E24:F24"/>
    <mergeCell ref="E25:F25"/>
    <mergeCell ref="E26:F26"/>
    <mergeCell ref="E27:F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B2F06-FD67-AD44-BF33-DB8601C78FAF}">
  <sheetPr>
    <tabColor rgb="FF7030A0"/>
  </sheetPr>
  <dimension ref="A1:K132"/>
  <sheetViews>
    <sheetView workbookViewId="0">
      <selection activeCell="H23" sqref="H23"/>
    </sheetView>
  </sheetViews>
  <sheetFormatPr baseColWidth="10" defaultColWidth="18" defaultRowHeight="19" x14ac:dyDescent="0.25"/>
  <cols>
    <col min="1" max="1" width="47.6640625" style="243" bestFit="1" customWidth="1"/>
    <col min="2" max="2" width="18" style="243"/>
    <col min="3" max="3" width="21" style="243" bestFit="1" customWidth="1"/>
    <col min="4" max="6" width="18" style="243"/>
    <col min="7" max="7" width="5.6640625" style="243" customWidth="1"/>
    <col min="8" max="8" width="36.5" style="243" customWidth="1"/>
    <col min="9" max="16384" width="18" style="243"/>
  </cols>
  <sheetData>
    <row r="1" spans="1:11" ht="26" customHeight="1" thickBot="1" x14ac:dyDescent="0.3">
      <c r="A1" s="554" t="str">
        <f>'Customer Details'!C45</f>
        <v xml:space="preserve">Fashion Global </v>
      </c>
      <c r="B1" s="555"/>
      <c r="C1" s="555"/>
      <c r="D1" s="555"/>
      <c r="E1" s="555"/>
      <c r="F1" s="555"/>
      <c r="G1" s="240"/>
      <c r="H1" s="241"/>
      <c r="I1" s="76" t="s">
        <v>489</v>
      </c>
      <c r="J1" s="242"/>
    </row>
    <row r="2" spans="1:11" ht="20" thickBot="1" x14ac:dyDescent="0.3">
      <c r="A2" s="359"/>
      <c r="B2" s="360"/>
      <c r="C2" s="360"/>
      <c r="D2" s="360"/>
      <c r="E2" s="360"/>
      <c r="F2" s="361" t="s">
        <v>615</v>
      </c>
      <c r="G2" s="240"/>
    </row>
    <row r="3" spans="1:11" ht="20" customHeight="1" thickBot="1" x14ac:dyDescent="0.3">
      <c r="A3" s="556" t="s">
        <v>490</v>
      </c>
      <c r="B3" s="349" t="s">
        <v>491</v>
      </c>
      <c r="C3" s="558" t="s">
        <v>492</v>
      </c>
      <c r="D3" s="349" t="s">
        <v>493</v>
      </c>
      <c r="E3" s="558" t="s">
        <v>492</v>
      </c>
      <c r="F3" s="349" t="s">
        <v>493</v>
      </c>
      <c r="G3" s="240"/>
    </row>
    <row r="4" spans="1:11" ht="20" thickBot="1" x14ac:dyDescent="0.3">
      <c r="A4" s="557"/>
      <c r="B4" s="358">
        <f>D4+365</f>
        <v>46022</v>
      </c>
      <c r="C4" s="559"/>
      <c r="D4" s="358">
        <f>+F4+366</f>
        <v>45657</v>
      </c>
      <c r="E4" s="559"/>
      <c r="F4" s="358">
        <v>45291</v>
      </c>
      <c r="G4" s="240"/>
    </row>
    <row r="5" spans="1:11" ht="20" x14ac:dyDescent="0.25">
      <c r="A5" s="352" t="s">
        <v>494</v>
      </c>
      <c r="B5" s="244"/>
      <c r="C5" s="245"/>
      <c r="D5" s="244"/>
      <c r="E5" s="245"/>
      <c r="F5" s="246"/>
      <c r="G5" s="240"/>
      <c r="K5" s="242"/>
    </row>
    <row r="6" spans="1:11" ht="20" x14ac:dyDescent="0.25">
      <c r="A6" s="353" t="s">
        <v>495</v>
      </c>
      <c r="B6" s="247"/>
      <c r="C6" s="248" t="str">
        <f>+IF(D6=0,"-",B6/D6-1)</f>
        <v>-</v>
      </c>
      <c r="D6" s="247"/>
      <c r="E6" s="248" t="str">
        <f>+IF(F6=0,"-",D6/F6-1)</f>
        <v>-</v>
      </c>
      <c r="F6" s="249"/>
      <c r="G6" s="240"/>
    </row>
    <row r="7" spans="1:11" ht="20" x14ac:dyDescent="0.25">
      <c r="A7" s="354" t="s">
        <v>190</v>
      </c>
      <c r="B7" s="250">
        <f>B6</f>
        <v>0</v>
      </c>
      <c r="C7" s="251" t="str">
        <f>+IF(D7=0,"-",B7/D7-1)</f>
        <v>-</v>
      </c>
      <c r="D7" s="250">
        <f>D6</f>
        <v>0</v>
      </c>
      <c r="E7" s="251" t="str">
        <f t="shared" ref="E7:E32" si="0">+IF(F7=0,"-",D7/F7-1)</f>
        <v>-</v>
      </c>
      <c r="F7" s="252">
        <f>F6</f>
        <v>0</v>
      </c>
      <c r="G7" s="240"/>
    </row>
    <row r="8" spans="1:11" ht="20" x14ac:dyDescent="0.25">
      <c r="A8" s="355" t="s">
        <v>496</v>
      </c>
      <c r="B8" s="253"/>
      <c r="C8" s="248" t="str">
        <f>+IF(D8=0,"-",B8/D8-1)</f>
        <v>-</v>
      </c>
      <c r="D8" s="253"/>
      <c r="E8" s="248" t="str">
        <f t="shared" si="0"/>
        <v>-</v>
      </c>
      <c r="F8" s="254"/>
      <c r="G8" s="240"/>
    </row>
    <row r="9" spans="1:11" ht="20" x14ac:dyDescent="0.25">
      <c r="A9" s="354" t="s">
        <v>497</v>
      </c>
      <c r="B9" s="255">
        <f>B7+B8</f>
        <v>0</v>
      </c>
      <c r="C9" s="251" t="str">
        <f>+IF(D9=0,"-",B9/D9-1)</f>
        <v>-</v>
      </c>
      <c r="D9" s="250">
        <f>D7+D8</f>
        <v>0</v>
      </c>
      <c r="E9" s="251" t="str">
        <f t="shared" si="0"/>
        <v>-</v>
      </c>
      <c r="F9" s="252">
        <f>F7+F8</f>
        <v>0</v>
      </c>
      <c r="G9" s="240"/>
    </row>
    <row r="10" spans="1:11" ht="20" x14ac:dyDescent="0.25">
      <c r="A10" s="356" t="s">
        <v>498</v>
      </c>
      <c r="B10" s="256"/>
      <c r="C10" s="257"/>
      <c r="D10" s="256"/>
      <c r="E10" s="257"/>
      <c r="F10" s="258"/>
      <c r="G10" s="259"/>
    </row>
    <row r="11" spans="1:11" ht="20" x14ac:dyDescent="0.25">
      <c r="A11" s="353" t="s">
        <v>14</v>
      </c>
      <c r="B11" s="253"/>
      <c r="C11" s="248" t="str">
        <f>+IF(D11=0,"-",B11/D11-1)</f>
        <v>-</v>
      </c>
      <c r="D11" s="253"/>
      <c r="E11" s="248" t="str">
        <f t="shared" si="0"/>
        <v>-</v>
      </c>
      <c r="F11" s="249"/>
      <c r="G11" s="240"/>
    </row>
    <row r="12" spans="1:11" ht="20" x14ac:dyDescent="0.25">
      <c r="A12" s="353" t="s">
        <v>499</v>
      </c>
      <c r="B12" s="253"/>
      <c r="C12" s="248" t="str">
        <f>+IF(D12=0,"-",B12/D12-1)</f>
        <v>-</v>
      </c>
      <c r="D12" s="253"/>
      <c r="E12" s="248" t="str">
        <f t="shared" si="0"/>
        <v>-</v>
      </c>
      <c r="F12" s="249"/>
      <c r="G12" s="240"/>
    </row>
    <row r="13" spans="1:11" ht="20" x14ac:dyDescent="0.25">
      <c r="A13" s="353" t="s">
        <v>500</v>
      </c>
      <c r="B13" s="253"/>
      <c r="C13" s="248" t="str">
        <f>+IF(D13=0,"-",B13/D13-1)</f>
        <v>-</v>
      </c>
      <c r="D13" s="253"/>
      <c r="E13" s="248" t="str">
        <f t="shared" si="0"/>
        <v>-</v>
      </c>
      <c r="F13" s="249"/>
      <c r="G13" s="240"/>
    </row>
    <row r="14" spans="1:11" ht="20" x14ac:dyDescent="0.25">
      <c r="A14" s="354" t="s">
        <v>501</v>
      </c>
      <c r="B14" s="250">
        <f>+B11+B12+B13</f>
        <v>0</v>
      </c>
      <c r="C14" s="251" t="str">
        <f>+IF(D14=0,"-",B14/D14-1)</f>
        <v>-</v>
      </c>
      <c r="D14" s="250">
        <f>+D11+D12+D13</f>
        <v>0</v>
      </c>
      <c r="E14" s="251" t="str">
        <f t="shared" si="0"/>
        <v>-</v>
      </c>
      <c r="F14" s="252">
        <f>+F11+F12+F13</f>
        <v>0</v>
      </c>
      <c r="G14" s="240"/>
    </row>
    <row r="15" spans="1:11" ht="20" x14ac:dyDescent="0.25">
      <c r="A15" s="356" t="s">
        <v>502</v>
      </c>
      <c r="B15" s="256"/>
      <c r="C15" s="260"/>
      <c r="D15" s="256"/>
      <c r="E15" s="260"/>
      <c r="F15" s="258"/>
      <c r="G15" s="240"/>
    </row>
    <row r="16" spans="1:11" ht="20" x14ac:dyDescent="0.25">
      <c r="A16" s="353" t="s">
        <v>503</v>
      </c>
      <c r="B16" s="247"/>
      <c r="C16" s="248" t="str">
        <f t="shared" ref="C16:C30" si="1">+IF(D16=0,"-",B16/D16-1)</f>
        <v>-</v>
      </c>
      <c r="D16" s="247"/>
      <c r="E16" s="248" t="str">
        <f t="shared" si="0"/>
        <v>-</v>
      </c>
      <c r="F16" s="249"/>
      <c r="G16" s="240"/>
    </row>
    <row r="17" spans="1:7" ht="20" x14ac:dyDescent="0.25">
      <c r="A17" s="353" t="s">
        <v>504</v>
      </c>
      <c r="B17" s="247"/>
      <c r="C17" s="248" t="str">
        <f t="shared" si="1"/>
        <v>-</v>
      </c>
      <c r="D17" s="247"/>
      <c r="E17" s="248" t="str">
        <f t="shared" si="0"/>
        <v>-</v>
      </c>
      <c r="F17" s="249"/>
      <c r="G17" s="240"/>
    </row>
    <row r="18" spans="1:7" ht="20" x14ac:dyDescent="0.25">
      <c r="A18" s="353" t="s">
        <v>505</v>
      </c>
      <c r="B18" s="247"/>
      <c r="C18" s="248" t="str">
        <f t="shared" si="1"/>
        <v>-</v>
      </c>
      <c r="D18" s="247"/>
      <c r="E18" s="248" t="str">
        <f t="shared" si="0"/>
        <v>-</v>
      </c>
      <c r="F18" s="249"/>
      <c r="G18" s="240"/>
    </row>
    <row r="19" spans="1:7" ht="40" x14ac:dyDescent="0.25">
      <c r="A19" s="355" t="s">
        <v>506</v>
      </c>
      <c r="B19" s="253"/>
      <c r="C19" s="248" t="str">
        <f t="shared" si="1"/>
        <v>-</v>
      </c>
      <c r="D19" s="253"/>
      <c r="E19" s="248" t="str">
        <f t="shared" si="0"/>
        <v>-</v>
      </c>
      <c r="F19" s="249"/>
      <c r="G19" s="240"/>
    </row>
    <row r="20" spans="1:7" ht="20" x14ac:dyDescent="0.25">
      <c r="A20" s="354" t="s">
        <v>507</v>
      </c>
      <c r="B20" s="250">
        <f>SUM(B16:B19)</f>
        <v>0</v>
      </c>
      <c r="C20" s="251" t="str">
        <f t="shared" si="1"/>
        <v>-</v>
      </c>
      <c r="D20" s="250">
        <f>SUM(D16:D19)</f>
        <v>0</v>
      </c>
      <c r="E20" s="251" t="str">
        <f t="shared" si="0"/>
        <v>-</v>
      </c>
      <c r="F20" s="252">
        <f>SUM(F16:F19)</f>
        <v>0</v>
      </c>
      <c r="G20" s="240"/>
    </row>
    <row r="21" spans="1:7" ht="20" x14ac:dyDescent="0.25">
      <c r="A21" s="354" t="s">
        <v>508</v>
      </c>
      <c r="B21" s="250">
        <f>B9-B14-B20</f>
        <v>0</v>
      </c>
      <c r="C21" s="251" t="str">
        <f t="shared" si="1"/>
        <v>-</v>
      </c>
      <c r="D21" s="250">
        <f>D9-D14-D20</f>
        <v>0</v>
      </c>
      <c r="E21" s="251" t="str">
        <f t="shared" si="0"/>
        <v>-</v>
      </c>
      <c r="F21" s="252">
        <f>F9-F14-F20</f>
        <v>0</v>
      </c>
      <c r="G21" s="240"/>
    </row>
    <row r="22" spans="1:7" ht="20" x14ac:dyDescent="0.25">
      <c r="A22" s="353" t="s">
        <v>509</v>
      </c>
      <c r="B22" s="253"/>
      <c r="C22" s="248" t="str">
        <f t="shared" si="1"/>
        <v>-</v>
      </c>
      <c r="D22" s="253"/>
      <c r="E22" s="248" t="str">
        <f t="shared" si="0"/>
        <v>-</v>
      </c>
      <c r="F22" s="249"/>
      <c r="G22" s="240"/>
    </row>
    <row r="23" spans="1:7" ht="20" x14ac:dyDescent="0.25">
      <c r="A23" s="354" t="s">
        <v>510</v>
      </c>
      <c r="B23" s="250">
        <f>B21-B22</f>
        <v>0</v>
      </c>
      <c r="C23" s="251" t="str">
        <f t="shared" si="1"/>
        <v>-</v>
      </c>
      <c r="D23" s="250">
        <f>D21-D22</f>
        <v>0</v>
      </c>
      <c r="E23" s="251" t="str">
        <f t="shared" si="0"/>
        <v>-</v>
      </c>
      <c r="F23" s="252">
        <f>F21-F22</f>
        <v>0</v>
      </c>
      <c r="G23" s="240"/>
    </row>
    <row r="24" spans="1:7" ht="20" x14ac:dyDescent="0.25">
      <c r="A24" s="353" t="s">
        <v>511</v>
      </c>
      <c r="B24" s="261"/>
      <c r="C24" s="248" t="str">
        <f t="shared" si="1"/>
        <v>-</v>
      </c>
      <c r="D24" s="261"/>
      <c r="E24" s="248" t="str">
        <f t="shared" si="0"/>
        <v>-</v>
      </c>
      <c r="F24" s="249"/>
      <c r="G24" s="240"/>
    </row>
    <row r="25" spans="1:7" ht="20" x14ac:dyDescent="0.25">
      <c r="A25" s="354" t="s">
        <v>512</v>
      </c>
      <c r="B25" s="250">
        <f>B23-B24</f>
        <v>0</v>
      </c>
      <c r="C25" s="251" t="str">
        <f t="shared" si="1"/>
        <v>-</v>
      </c>
      <c r="D25" s="250">
        <f>D23-D24</f>
        <v>0</v>
      </c>
      <c r="E25" s="251" t="str">
        <f t="shared" si="0"/>
        <v>-</v>
      </c>
      <c r="F25" s="252">
        <f>F23-F24</f>
        <v>0</v>
      </c>
      <c r="G25" s="240"/>
    </row>
    <row r="26" spans="1:7" ht="20" x14ac:dyDescent="0.25">
      <c r="A26" s="353" t="s">
        <v>513</v>
      </c>
      <c r="B26" s="253"/>
      <c r="C26" s="248" t="str">
        <f t="shared" si="1"/>
        <v>-</v>
      </c>
      <c r="D26" s="253"/>
      <c r="E26" s="248" t="str">
        <f t="shared" si="0"/>
        <v>-</v>
      </c>
      <c r="F26" s="249"/>
      <c r="G26" s="240"/>
    </row>
    <row r="27" spans="1:7" ht="20" x14ac:dyDescent="0.25">
      <c r="A27" s="353" t="s">
        <v>514</v>
      </c>
      <c r="B27" s="253"/>
      <c r="C27" s="248" t="str">
        <f t="shared" si="1"/>
        <v>-</v>
      </c>
      <c r="D27" s="253"/>
      <c r="E27" s="248" t="str">
        <f t="shared" si="0"/>
        <v>-</v>
      </c>
      <c r="F27" s="249"/>
      <c r="G27" s="240"/>
    </row>
    <row r="28" spans="1:7" ht="20" x14ac:dyDescent="0.25">
      <c r="A28" s="354" t="s">
        <v>515</v>
      </c>
      <c r="B28" s="250">
        <f>B25+B26-B27</f>
        <v>0</v>
      </c>
      <c r="C28" s="251" t="str">
        <f t="shared" si="1"/>
        <v>-</v>
      </c>
      <c r="D28" s="250">
        <f>D25+D26-D27</f>
        <v>0</v>
      </c>
      <c r="E28" s="251" t="str">
        <f t="shared" si="0"/>
        <v>-</v>
      </c>
      <c r="F28" s="252">
        <f>F25+F26-F27</f>
        <v>0</v>
      </c>
      <c r="G28" s="240"/>
    </row>
    <row r="29" spans="1:7" ht="20" x14ac:dyDescent="0.25">
      <c r="A29" s="353" t="s">
        <v>516</v>
      </c>
      <c r="B29" s="247"/>
      <c r="C29" s="248" t="str">
        <f t="shared" si="1"/>
        <v>-</v>
      </c>
      <c r="D29" s="253"/>
      <c r="E29" s="248" t="str">
        <f t="shared" si="0"/>
        <v>-</v>
      </c>
      <c r="F29" s="249"/>
      <c r="G29" s="240"/>
    </row>
    <row r="30" spans="1:7" ht="20" x14ac:dyDescent="0.25">
      <c r="A30" s="354" t="s">
        <v>517</v>
      </c>
      <c r="B30" s="250">
        <f>B28-B29</f>
        <v>0</v>
      </c>
      <c r="C30" s="251" t="str">
        <f t="shared" si="1"/>
        <v>-</v>
      </c>
      <c r="D30" s="250">
        <f>D28-D29</f>
        <v>0</v>
      </c>
      <c r="E30" s="251" t="str">
        <f t="shared" si="0"/>
        <v>-</v>
      </c>
      <c r="F30" s="252">
        <f>F28-F29</f>
        <v>0</v>
      </c>
      <c r="G30" s="240"/>
    </row>
    <row r="31" spans="1:7" x14ac:dyDescent="0.25">
      <c r="A31" s="354"/>
      <c r="B31" s="262"/>
      <c r="C31" s="263"/>
      <c r="D31" s="262"/>
      <c r="E31" s="263"/>
      <c r="F31" s="264"/>
      <c r="G31" s="240"/>
    </row>
    <row r="32" spans="1:7" ht="21" thickBot="1" x14ac:dyDescent="0.3">
      <c r="A32" s="357" t="s">
        <v>518</v>
      </c>
      <c r="B32" s="265">
        <f>B30+B22+B19</f>
        <v>0</v>
      </c>
      <c r="C32" s="266" t="str">
        <f t="shared" ref="C32" si="2">+IF(D32=0,"-",B32/D32-1)</f>
        <v>-</v>
      </c>
      <c r="D32" s="265">
        <f>D30+D22+D19</f>
        <v>0</v>
      </c>
      <c r="E32" s="266" t="str">
        <f t="shared" si="0"/>
        <v>-</v>
      </c>
      <c r="F32" s="267">
        <f>F30+F22+F19</f>
        <v>0</v>
      </c>
      <c r="G32" s="240"/>
    </row>
    <row r="33" spans="1:7" ht="20" thickBot="1" x14ac:dyDescent="0.3">
      <c r="A33" s="268"/>
      <c r="B33" s="269"/>
      <c r="C33" s="269"/>
      <c r="D33" s="269"/>
      <c r="E33" s="269"/>
      <c r="F33" s="269"/>
      <c r="G33" s="240"/>
    </row>
    <row r="34" spans="1:7" ht="20" thickBot="1" x14ac:dyDescent="0.3">
      <c r="A34" s="556" t="s">
        <v>519</v>
      </c>
      <c r="B34" s="349" t="str">
        <f>B3</f>
        <v>Projected</v>
      </c>
      <c r="C34" s="560" t="s">
        <v>520</v>
      </c>
      <c r="D34" s="349" t="str">
        <f>D3</f>
        <v>Actual</v>
      </c>
      <c r="E34" s="560" t="s">
        <v>520</v>
      </c>
      <c r="F34" s="349" t="str">
        <f>F3</f>
        <v>Actual</v>
      </c>
      <c r="G34" s="240"/>
    </row>
    <row r="35" spans="1:7" ht="24" customHeight="1" thickBot="1" x14ac:dyDescent="0.3">
      <c r="A35" s="557"/>
      <c r="B35" s="350">
        <f>+B4</f>
        <v>46022</v>
      </c>
      <c r="C35" s="561"/>
      <c r="D35" s="350">
        <f>+D4</f>
        <v>45657</v>
      </c>
      <c r="E35" s="561"/>
      <c r="F35" s="351">
        <f>+F4</f>
        <v>45291</v>
      </c>
      <c r="G35" s="240"/>
    </row>
    <row r="36" spans="1:7" ht="20" x14ac:dyDescent="0.25">
      <c r="A36" s="346" t="s">
        <v>521</v>
      </c>
      <c r="B36" s="270"/>
      <c r="C36" s="271"/>
      <c r="D36" s="270"/>
      <c r="E36" s="271"/>
      <c r="F36" s="272"/>
      <c r="G36" s="240"/>
    </row>
    <row r="37" spans="1:7" ht="20" x14ac:dyDescent="0.25">
      <c r="A37" s="347" t="s">
        <v>522</v>
      </c>
      <c r="B37" s="247"/>
      <c r="C37" s="248" t="str">
        <f t="shared" ref="C37:C44" si="3">+IF(D37=0,"-",B37/D37-1)</f>
        <v>-</v>
      </c>
      <c r="D37" s="247"/>
      <c r="E37" s="248" t="str">
        <f t="shared" ref="E37:E44" si="4">+IF(F37=0,"-",D37/F37-1)</f>
        <v>-</v>
      </c>
      <c r="F37" s="249"/>
      <c r="G37" s="240"/>
    </row>
    <row r="38" spans="1:7" ht="40" x14ac:dyDescent="0.25">
      <c r="A38" s="343" t="s">
        <v>523</v>
      </c>
      <c r="B38" s="253"/>
      <c r="C38" s="248" t="str">
        <f t="shared" si="3"/>
        <v>-</v>
      </c>
      <c r="D38" s="253"/>
      <c r="E38" s="248" t="str">
        <f t="shared" si="4"/>
        <v>-</v>
      </c>
      <c r="F38" s="249"/>
      <c r="G38" s="240"/>
    </row>
    <row r="39" spans="1:7" ht="40" x14ac:dyDescent="0.25">
      <c r="A39" s="347" t="s">
        <v>524</v>
      </c>
      <c r="B39" s="253"/>
      <c r="C39" s="248" t="str">
        <f t="shared" si="3"/>
        <v>-</v>
      </c>
      <c r="D39" s="253"/>
      <c r="E39" s="248" t="str">
        <f t="shared" si="4"/>
        <v>-</v>
      </c>
      <c r="F39" s="249"/>
      <c r="G39" s="240"/>
    </row>
    <row r="40" spans="1:7" ht="20" hidden="1" x14ac:dyDescent="0.25">
      <c r="A40" s="342" t="s">
        <v>525</v>
      </c>
      <c r="B40" s="250">
        <f>B37+B38+B39</f>
        <v>0</v>
      </c>
      <c r="C40" s="251" t="str">
        <f t="shared" si="3"/>
        <v>-</v>
      </c>
      <c r="D40" s="250">
        <f>D37+D38+D39</f>
        <v>0</v>
      </c>
      <c r="E40" s="251" t="str">
        <f t="shared" si="4"/>
        <v>-</v>
      </c>
      <c r="F40" s="252">
        <f>F37+F38+F39</f>
        <v>0</v>
      </c>
      <c r="G40" s="240"/>
    </row>
    <row r="41" spans="1:7" ht="20" hidden="1" x14ac:dyDescent="0.25">
      <c r="A41" s="347" t="s">
        <v>526</v>
      </c>
      <c r="B41" s="253"/>
      <c r="C41" s="248" t="str">
        <f t="shared" si="3"/>
        <v>-</v>
      </c>
      <c r="D41" s="253"/>
      <c r="E41" s="248" t="str">
        <f t="shared" si="4"/>
        <v>-</v>
      </c>
      <c r="F41" s="249"/>
      <c r="G41" s="240"/>
    </row>
    <row r="42" spans="1:7" ht="40" hidden="1" x14ac:dyDescent="0.25">
      <c r="A42" s="347" t="s">
        <v>527</v>
      </c>
      <c r="B42" s="253"/>
      <c r="C42" s="248" t="str">
        <f t="shared" si="3"/>
        <v>-</v>
      </c>
      <c r="D42" s="253"/>
      <c r="E42" s="248" t="str">
        <f t="shared" si="4"/>
        <v>-</v>
      </c>
      <c r="F42" s="249"/>
      <c r="G42" s="240"/>
    </row>
    <row r="43" spans="1:7" ht="40" hidden="1" x14ac:dyDescent="0.25">
      <c r="A43" s="347" t="s">
        <v>528</v>
      </c>
      <c r="B43" s="253"/>
      <c r="C43" s="248" t="str">
        <f t="shared" si="3"/>
        <v>-</v>
      </c>
      <c r="D43" s="253"/>
      <c r="E43" s="248" t="str">
        <f t="shared" si="4"/>
        <v>-</v>
      </c>
      <c r="F43" s="249"/>
      <c r="G43" s="240"/>
    </row>
    <row r="44" spans="1:7" ht="20" x14ac:dyDescent="0.25">
      <c r="A44" s="342" t="s">
        <v>529</v>
      </c>
      <c r="B44" s="250">
        <f>B40-B41-B42-B43</f>
        <v>0</v>
      </c>
      <c r="C44" s="251" t="str">
        <f t="shared" si="3"/>
        <v>-</v>
      </c>
      <c r="D44" s="250">
        <f>D40-D41-D42-D43</f>
        <v>0</v>
      </c>
      <c r="E44" s="251" t="str">
        <f t="shared" si="4"/>
        <v>-</v>
      </c>
      <c r="F44" s="252">
        <f>F40-F41-F42-F43</f>
        <v>0</v>
      </c>
      <c r="G44" s="240"/>
    </row>
    <row r="45" spans="1:7" ht="20" x14ac:dyDescent="0.25">
      <c r="A45" s="342" t="s">
        <v>530</v>
      </c>
      <c r="B45" s="273"/>
      <c r="C45" s="274"/>
      <c r="D45" s="273"/>
      <c r="E45" s="274"/>
      <c r="F45" s="275"/>
      <c r="G45" s="240"/>
    </row>
    <row r="46" spans="1:7" ht="20" x14ac:dyDescent="0.25">
      <c r="A46" s="347" t="s">
        <v>531</v>
      </c>
      <c r="B46" s="253"/>
      <c r="C46" s="248" t="str">
        <f>+IF(D46=0,"-",B46/D46-1)</f>
        <v>-</v>
      </c>
      <c r="D46" s="253"/>
      <c r="E46" s="248" t="str">
        <f t="shared" ref="E46:E49" si="5">+IF(F46=0,"-",D46/F46-1)</f>
        <v>-</v>
      </c>
      <c r="F46" s="249"/>
      <c r="G46" s="240"/>
    </row>
    <row r="47" spans="1:7" ht="20" x14ac:dyDescent="0.25">
      <c r="A47" s="347" t="s">
        <v>532</v>
      </c>
      <c r="B47" s="253"/>
      <c r="C47" s="248" t="str">
        <f>+IF(D47=0,"-",B47/D47-1)</f>
        <v>-</v>
      </c>
      <c r="D47" s="253"/>
      <c r="E47" s="248" t="str">
        <f t="shared" si="5"/>
        <v>-</v>
      </c>
      <c r="F47" s="249"/>
      <c r="G47" s="240"/>
    </row>
    <row r="48" spans="1:7" ht="20" x14ac:dyDescent="0.25">
      <c r="A48" s="347" t="s">
        <v>533</v>
      </c>
      <c r="B48" s="253"/>
      <c r="C48" s="248" t="str">
        <f>+IF(D48=0,"-",B48/D48-1)</f>
        <v>-</v>
      </c>
      <c r="D48" s="253"/>
      <c r="E48" s="248" t="str">
        <f t="shared" si="5"/>
        <v>-</v>
      </c>
      <c r="F48" s="249"/>
      <c r="G48" s="240"/>
    </row>
    <row r="49" spans="1:7" ht="20" x14ac:dyDescent="0.25">
      <c r="A49" s="342" t="s">
        <v>534</v>
      </c>
      <c r="B49" s="250">
        <f>+B46+B47+B48</f>
        <v>0</v>
      </c>
      <c r="C49" s="251" t="str">
        <f>+IF(D49=0,"-",B49/D49-1)</f>
        <v>-</v>
      </c>
      <c r="D49" s="250">
        <f>+D46+D47+D48</f>
        <v>0</v>
      </c>
      <c r="E49" s="251" t="str">
        <f t="shared" si="5"/>
        <v>-</v>
      </c>
      <c r="F49" s="252">
        <f>+F46+F47+F48</f>
        <v>0</v>
      </c>
      <c r="G49" s="240"/>
    </row>
    <row r="50" spans="1:7" ht="20" x14ac:dyDescent="0.25">
      <c r="A50" s="342" t="s">
        <v>535</v>
      </c>
      <c r="B50" s="276"/>
      <c r="C50" s="277"/>
      <c r="D50" s="276"/>
      <c r="E50" s="277"/>
      <c r="F50" s="278"/>
      <c r="G50" s="240"/>
    </row>
    <row r="51" spans="1:7" ht="40" x14ac:dyDescent="0.25">
      <c r="A51" s="347" t="s">
        <v>536</v>
      </c>
      <c r="B51" s="253"/>
      <c r="C51" s="248" t="str">
        <f t="shared" ref="C51:C58" si="6">+IF(D51=0,"-",B51/D51-1)</f>
        <v>-</v>
      </c>
      <c r="D51" s="253"/>
      <c r="E51" s="248" t="str">
        <f t="shared" ref="E51:E80" si="7">+IF(F51=0,"-",D51/F51-1)</f>
        <v>-</v>
      </c>
      <c r="F51" s="249"/>
      <c r="G51" s="240"/>
    </row>
    <row r="52" spans="1:7" ht="20" x14ac:dyDescent="0.25">
      <c r="A52" s="347" t="s">
        <v>537</v>
      </c>
      <c r="B52" s="253"/>
      <c r="C52" s="248" t="str">
        <f t="shared" si="6"/>
        <v>-</v>
      </c>
      <c r="D52" s="253"/>
      <c r="E52" s="248" t="str">
        <f t="shared" si="7"/>
        <v>-</v>
      </c>
      <c r="F52" s="249"/>
      <c r="G52" s="240"/>
    </row>
    <row r="53" spans="1:7" ht="20" x14ac:dyDescent="0.25">
      <c r="A53" s="347" t="s">
        <v>538</v>
      </c>
      <c r="B53" s="253"/>
      <c r="C53" s="248" t="str">
        <f t="shared" si="6"/>
        <v>-</v>
      </c>
      <c r="D53" s="253"/>
      <c r="E53" s="248" t="str">
        <f t="shared" si="7"/>
        <v>-</v>
      </c>
      <c r="F53" s="249"/>
      <c r="G53" s="240"/>
    </row>
    <row r="54" spans="1:7" ht="20" x14ac:dyDescent="0.25">
      <c r="A54" s="347" t="s">
        <v>539</v>
      </c>
      <c r="B54" s="253"/>
      <c r="C54" s="248" t="str">
        <f t="shared" si="6"/>
        <v>-</v>
      </c>
      <c r="D54" s="253"/>
      <c r="E54" s="248" t="str">
        <f t="shared" si="7"/>
        <v>-</v>
      </c>
      <c r="F54" s="254"/>
      <c r="G54" s="240"/>
    </row>
    <row r="55" spans="1:7" ht="20" x14ac:dyDescent="0.25">
      <c r="A55" s="347" t="s">
        <v>540</v>
      </c>
      <c r="B55" s="253"/>
      <c r="C55" s="248" t="str">
        <f t="shared" si="6"/>
        <v>-</v>
      </c>
      <c r="D55" s="253"/>
      <c r="E55" s="248" t="str">
        <f t="shared" si="7"/>
        <v>-</v>
      </c>
      <c r="F55" s="249"/>
      <c r="G55" s="240"/>
    </row>
    <row r="56" spans="1:7" ht="20" x14ac:dyDescent="0.25">
      <c r="A56" s="342" t="s">
        <v>541</v>
      </c>
      <c r="B56" s="250">
        <f>SUM(B51:B55)</f>
        <v>0</v>
      </c>
      <c r="C56" s="251" t="str">
        <f t="shared" si="6"/>
        <v>-</v>
      </c>
      <c r="D56" s="250">
        <f>SUM(D51:D55)</f>
        <v>0</v>
      </c>
      <c r="E56" s="251" t="str">
        <f t="shared" si="7"/>
        <v>-</v>
      </c>
      <c r="F56" s="252">
        <f>SUM(F51:F55)</f>
        <v>0</v>
      </c>
      <c r="G56" s="240"/>
    </row>
    <row r="57" spans="1:7" x14ac:dyDescent="0.25">
      <c r="A57" s="348" t="s">
        <v>542</v>
      </c>
      <c r="B57" s="250">
        <f>B49+B56</f>
        <v>0</v>
      </c>
      <c r="C57" s="251" t="str">
        <f t="shared" si="6"/>
        <v>-</v>
      </c>
      <c r="D57" s="250">
        <f>D49+D56</f>
        <v>0</v>
      </c>
      <c r="E57" s="251" t="str">
        <f t="shared" si="7"/>
        <v>-</v>
      </c>
      <c r="F57" s="252">
        <f>F49+F56</f>
        <v>0</v>
      </c>
      <c r="G57" s="240"/>
    </row>
    <row r="58" spans="1:7" ht="21" thickBot="1" x14ac:dyDescent="0.3">
      <c r="A58" s="345" t="s">
        <v>543</v>
      </c>
      <c r="B58" s="265">
        <f>B40+B57</f>
        <v>0</v>
      </c>
      <c r="C58" s="266" t="str">
        <f t="shared" si="6"/>
        <v>-</v>
      </c>
      <c r="D58" s="265">
        <f>D40+D57</f>
        <v>0</v>
      </c>
      <c r="E58" s="266" t="str">
        <f t="shared" si="7"/>
        <v>-</v>
      </c>
      <c r="F58" s="267">
        <f>F40+F57</f>
        <v>0</v>
      </c>
      <c r="G58" s="240"/>
    </row>
    <row r="59" spans="1:7" ht="20" thickBot="1" x14ac:dyDescent="0.3">
      <c r="A59" s="279"/>
      <c r="B59" s="280"/>
      <c r="C59" s="281"/>
      <c r="D59" s="280"/>
      <c r="E59" s="281"/>
      <c r="F59" s="282"/>
      <c r="G59" s="240"/>
    </row>
    <row r="60" spans="1:7" ht="20" x14ac:dyDescent="0.25">
      <c r="A60" s="339" t="s">
        <v>544</v>
      </c>
      <c r="B60" s="283"/>
      <c r="C60" s="284"/>
      <c r="D60" s="283"/>
      <c r="E60" s="284"/>
      <c r="F60" s="285"/>
      <c r="G60" s="240"/>
    </row>
    <row r="61" spans="1:7" ht="20" x14ac:dyDescent="0.25">
      <c r="A61" s="340" t="s">
        <v>545</v>
      </c>
      <c r="B61" s="253"/>
      <c r="C61" s="248" t="str">
        <f t="shared" ref="C61:C67" si="8">+IF(D61=0,"-",B61/D61-1)</f>
        <v>-</v>
      </c>
      <c r="D61" s="253"/>
      <c r="E61" s="248" t="str">
        <f t="shared" si="7"/>
        <v>-</v>
      </c>
      <c r="F61" s="249"/>
      <c r="G61" s="240"/>
    </row>
    <row r="62" spans="1:7" ht="20" x14ac:dyDescent="0.25">
      <c r="A62" s="341" t="s">
        <v>546</v>
      </c>
      <c r="B62" s="253"/>
      <c r="C62" s="248" t="str">
        <f t="shared" si="8"/>
        <v>-</v>
      </c>
      <c r="D62" s="253"/>
      <c r="E62" s="248" t="str">
        <f t="shared" si="7"/>
        <v>-</v>
      </c>
      <c r="F62" s="249"/>
      <c r="G62" s="240"/>
    </row>
    <row r="63" spans="1:7" ht="20" x14ac:dyDescent="0.25">
      <c r="A63" s="340" t="s">
        <v>547</v>
      </c>
      <c r="B63" s="262">
        <f>B61-B62</f>
        <v>0</v>
      </c>
      <c r="C63" s="251" t="str">
        <f t="shared" si="8"/>
        <v>-</v>
      </c>
      <c r="D63" s="262">
        <f>D61-D62</f>
        <v>0</v>
      </c>
      <c r="E63" s="251" t="str">
        <f t="shared" si="7"/>
        <v>-</v>
      </c>
      <c r="F63" s="264">
        <f>F61-F62</f>
        <v>0</v>
      </c>
      <c r="G63" s="240"/>
    </row>
    <row r="64" spans="1:7" ht="20" hidden="1" x14ac:dyDescent="0.25">
      <c r="A64" s="340" t="s">
        <v>548</v>
      </c>
      <c r="B64" s="261"/>
      <c r="C64" s="251" t="str">
        <f t="shared" si="8"/>
        <v>-</v>
      </c>
      <c r="D64" s="261"/>
      <c r="E64" s="251" t="str">
        <f t="shared" si="7"/>
        <v>-</v>
      </c>
      <c r="F64" s="286"/>
      <c r="G64" s="240"/>
    </row>
    <row r="65" spans="1:7" ht="40" hidden="1" x14ac:dyDescent="0.25">
      <c r="A65" s="341" t="s">
        <v>549</v>
      </c>
      <c r="B65" s="253"/>
      <c r="C65" s="248" t="str">
        <f t="shared" si="8"/>
        <v>-</v>
      </c>
      <c r="D65" s="253"/>
      <c r="E65" s="248" t="str">
        <f t="shared" si="7"/>
        <v>-</v>
      </c>
      <c r="F65" s="249"/>
      <c r="G65" s="240"/>
    </row>
    <row r="66" spans="1:7" ht="20" x14ac:dyDescent="0.25">
      <c r="A66" s="340" t="s">
        <v>550</v>
      </c>
      <c r="B66" s="261"/>
      <c r="C66" s="251" t="str">
        <f t="shared" si="8"/>
        <v>-</v>
      </c>
      <c r="D66" s="261"/>
      <c r="E66" s="251" t="str">
        <f t="shared" si="7"/>
        <v>-</v>
      </c>
      <c r="F66" s="286"/>
      <c r="G66" s="240"/>
    </row>
    <row r="67" spans="1:7" ht="20" x14ac:dyDescent="0.25">
      <c r="A67" s="340" t="s">
        <v>551</v>
      </c>
      <c r="B67" s="261"/>
      <c r="C67" s="251" t="str">
        <f t="shared" si="8"/>
        <v>-</v>
      </c>
      <c r="D67" s="261"/>
      <c r="E67" s="251" t="str">
        <f t="shared" si="7"/>
        <v>-</v>
      </c>
      <c r="F67" s="286"/>
      <c r="G67" s="240"/>
    </row>
    <row r="68" spans="1:7" ht="20" x14ac:dyDescent="0.25">
      <c r="A68" s="340" t="s">
        <v>552</v>
      </c>
      <c r="B68" s="287"/>
      <c r="C68" s="257"/>
      <c r="D68" s="287"/>
      <c r="E68" s="257"/>
      <c r="F68" s="288"/>
      <c r="G68" s="240"/>
    </row>
    <row r="69" spans="1:7" ht="20" x14ac:dyDescent="0.25">
      <c r="A69" s="341" t="s">
        <v>553</v>
      </c>
      <c r="B69" s="253"/>
      <c r="C69" s="248" t="str">
        <f t="shared" ref="C69:C75" si="9">+IF(D69=0,"-",B69/D69-1)</f>
        <v>-</v>
      </c>
      <c r="D69" s="253"/>
      <c r="E69" s="248" t="str">
        <f t="shared" si="7"/>
        <v>-</v>
      </c>
      <c r="F69" s="249"/>
      <c r="G69" s="240"/>
    </row>
    <row r="70" spans="1:7" ht="20" x14ac:dyDescent="0.25">
      <c r="A70" s="340" t="s">
        <v>554</v>
      </c>
      <c r="B70" s="250">
        <f>+B71+B72</f>
        <v>0</v>
      </c>
      <c r="C70" s="251" t="str">
        <f t="shared" si="9"/>
        <v>-</v>
      </c>
      <c r="D70" s="250">
        <f>+D71+D72</f>
        <v>0</v>
      </c>
      <c r="E70" s="251" t="str">
        <f t="shared" si="7"/>
        <v>-</v>
      </c>
      <c r="F70" s="252">
        <f>+F71+F72</f>
        <v>0</v>
      </c>
      <c r="G70" s="240"/>
    </row>
    <row r="71" spans="1:7" ht="20" x14ac:dyDescent="0.25">
      <c r="A71" s="341" t="s">
        <v>555</v>
      </c>
      <c r="B71" s="253"/>
      <c r="C71" s="248" t="str">
        <f t="shared" si="9"/>
        <v>-</v>
      </c>
      <c r="D71" s="253"/>
      <c r="E71" s="248" t="str">
        <f t="shared" si="7"/>
        <v>-</v>
      </c>
      <c r="F71" s="249"/>
      <c r="G71" s="240"/>
    </row>
    <row r="72" spans="1:7" ht="20" x14ac:dyDescent="0.25">
      <c r="A72" s="341" t="s">
        <v>556</v>
      </c>
      <c r="B72" s="253"/>
      <c r="C72" s="248" t="str">
        <f t="shared" si="9"/>
        <v>-</v>
      </c>
      <c r="D72" s="253"/>
      <c r="E72" s="248" t="str">
        <f t="shared" si="7"/>
        <v>-</v>
      </c>
      <c r="F72" s="249"/>
      <c r="G72" s="240"/>
    </row>
    <row r="73" spans="1:7" ht="20" x14ac:dyDescent="0.25">
      <c r="A73" s="341" t="s">
        <v>557</v>
      </c>
      <c r="B73" s="253"/>
      <c r="C73" s="248" t="str">
        <f t="shared" si="9"/>
        <v>-</v>
      </c>
      <c r="D73" s="253"/>
      <c r="E73" s="248" t="str">
        <f t="shared" si="7"/>
        <v>-</v>
      </c>
      <c r="F73" s="249"/>
      <c r="G73" s="240"/>
    </row>
    <row r="74" spans="1:7" ht="20" x14ac:dyDescent="0.25">
      <c r="A74" s="341" t="s">
        <v>558</v>
      </c>
      <c r="B74" s="253"/>
      <c r="C74" s="248" t="str">
        <f t="shared" si="9"/>
        <v>-</v>
      </c>
      <c r="D74" s="253"/>
      <c r="E74" s="248" t="str">
        <f t="shared" si="7"/>
        <v>-</v>
      </c>
      <c r="F74" s="249"/>
      <c r="G74" s="240"/>
    </row>
    <row r="75" spans="1:7" ht="20" x14ac:dyDescent="0.25">
      <c r="A75" s="340" t="s">
        <v>559</v>
      </c>
      <c r="B75" s="250">
        <f>+B69+B70+B73+B74</f>
        <v>0</v>
      </c>
      <c r="C75" s="251" t="str">
        <f t="shared" si="9"/>
        <v>-</v>
      </c>
      <c r="D75" s="250">
        <f>+D69+D70+D73+D74</f>
        <v>0</v>
      </c>
      <c r="E75" s="251" t="str">
        <f t="shared" si="7"/>
        <v>-</v>
      </c>
      <c r="F75" s="252">
        <f>+F69+F70+F73+F74</f>
        <v>0</v>
      </c>
      <c r="G75" s="289"/>
    </row>
    <row r="76" spans="1:7" ht="20" x14ac:dyDescent="0.25">
      <c r="A76" s="342" t="s">
        <v>560</v>
      </c>
      <c r="B76" s="287"/>
      <c r="C76" s="257"/>
      <c r="D76" s="287"/>
      <c r="E76" s="257"/>
      <c r="F76" s="288"/>
      <c r="G76" s="240"/>
    </row>
    <row r="77" spans="1:7" ht="19" customHeight="1" x14ac:dyDescent="0.25">
      <c r="A77" s="343" t="s">
        <v>561</v>
      </c>
      <c r="B77" s="253"/>
      <c r="C77" s="248" t="str">
        <f>+IF(D77=0,"-",B77/D77-1)</f>
        <v>-</v>
      </c>
      <c r="D77" s="253"/>
      <c r="E77" s="248" t="str">
        <f t="shared" si="7"/>
        <v>-</v>
      </c>
      <c r="F77" s="249"/>
      <c r="G77" s="240"/>
    </row>
    <row r="78" spans="1:7" ht="22" customHeight="1" x14ac:dyDescent="0.25">
      <c r="A78" s="343" t="s">
        <v>562</v>
      </c>
      <c r="B78" s="253"/>
      <c r="C78" s="248" t="str">
        <f>+IF(D78=0,"-",B78/D78-1)</f>
        <v>-</v>
      </c>
      <c r="D78" s="253"/>
      <c r="E78" s="248" t="str">
        <f t="shared" si="7"/>
        <v>-</v>
      </c>
      <c r="F78" s="249"/>
      <c r="G78" s="240"/>
    </row>
    <row r="79" spans="1:7" ht="20" x14ac:dyDescent="0.25">
      <c r="A79" s="344" t="s">
        <v>563</v>
      </c>
      <c r="B79" s="250">
        <f>+B77+B78</f>
        <v>0</v>
      </c>
      <c r="C79" s="251" t="str">
        <f>+IF(D79=0,"-",B79/D79-1)</f>
        <v>-</v>
      </c>
      <c r="D79" s="250">
        <f>+D77+D78</f>
        <v>0</v>
      </c>
      <c r="E79" s="251" t="str">
        <f t="shared" si="7"/>
        <v>-</v>
      </c>
      <c r="F79" s="252">
        <f>+F77+F78</f>
        <v>0</v>
      </c>
      <c r="G79" s="240"/>
    </row>
    <row r="80" spans="1:7" ht="21" thickBot="1" x14ac:dyDescent="0.3">
      <c r="A80" s="345" t="s">
        <v>543</v>
      </c>
      <c r="B80" s="265">
        <f>+B63+B64+B65+B66+B67+B75+B79+B68</f>
        <v>0</v>
      </c>
      <c r="C80" s="266" t="str">
        <f>+IF(D80=0,"-",B80/D80-1)</f>
        <v>-</v>
      </c>
      <c r="D80" s="265">
        <f>+D63+D64+D65+D66+D67+D75+D79+D68</f>
        <v>0</v>
      </c>
      <c r="E80" s="266" t="str">
        <f t="shared" si="7"/>
        <v>-</v>
      </c>
      <c r="F80" s="267">
        <f>+F63+F64+F65+F66+F67+F75+F79+F68</f>
        <v>0</v>
      </c>
      <c r="G80" s="240"/>
    </row>
    <row r="81" spans="1:9" ht="20" thickBot="1" x14ac:dyDescent="0.3">
      <c r="A81" s="290"/>
      <c r="B81" s="291">
        <f>+B58-B80</f>
        <v>0</v>
      </c>
      <c r="C81" s="292"/>
      <c r="D81" s="291">
        <f>+D58-D80</f>
        <v>0</v>
      </c>
      <c r="E81" s="292"/>
      <c r="F81" s="291">
        <f>+F58-F80</f>
        <v>0</v>
      </c>
      <c r="G81" s="240"/>
    </row>
    <row r="82" spans="1:9" ht="20" thickBot="1" x14ac:dyDescent="0.3">
      <c r="A82" s="544" t="s">
        <v>564</v>
      </c>
      <c r="B82" s="545"/>
      <c r="C82" s="546"/>
      <c r="D82" s="545"/>
      <c r="E82" s="546"/>
      <c r="F82" s="547"/>
      <c r="G82" s="240"/>
    </row>
    <row r="83" spans="1:9" x14ac:dyDescent="0.25">
      <c r="A83" s="334"/>
      <c r="B83" s="337">
        <f>+B35</f>
        <v>46022</v>
      </c>
      <c r="C83" s="338"/>
      <c r="D83" s="337">
        <f>+D35</f>
        <v>45657</v>
      </c>
      <c r="E83" s="338"/>
      <c r="F83" s="337">
        <f>+F35</f>
        <v>45291</v>
      </c>
      <c r="G83" s="240"/>
    </row>
    <row r="84" spans="1:9" ht="20" x14ac:dyDescent="0.25">
      <c r="A84" s="335" t="s">
        <v>565</v>
      </c>
      <c r="B84" s="293" t="str">
        <f>+IF(B44=0,"-",B57/B44)</f>
        <v>-</v>
      </c>
      <c r="C84" s="294"/>
      <c r="D84" s="293" t="str">
        <f>+IF(D44=0,"-",D57/D44)</f>
        <v>-</v>
      </c>
      <c r="E84" s="294"/>
      <c r="F84" s="293" t="str">
        <f>+IF(F44=0,"-",F57/F44)</f>
        <v>-</v>
      </c>
      <c r="G84" s="240"/>
    </row>
    <row r="85" spans="1:9" ht="20" x14ac:dyDescent="0.25">
      <c r="A85" s="335" t="s">
        <v>566</v>
      </c>
      <c r="B85" s="248" t="str">
        <f>+IF(B7=0,"-",B21/B7)</f>
        <v>-</v>
      </c>
      <c r="C85" s="294"/>
      <c r="D85" s="248" t="str">
        <f>+IF(D7=0,"-",D21/D7)</f>
        <v>-</v>
      </c>
      <c r="E85" s="294"/>
      <c r="F85" s="248" t="str">
        <f>+IF(F7=0,"-",F21/F7)</f>
        <v>-</v>
      </c>
      <c r="G85" s="240"/>
    </row>
    <row r="86" spans="1:9" ht="20" x14ac:dyDescent="0.25">
      <c r="A86" s="335" t="s">
        <v>567</v>
      </c>
      <c r="B86" s="293" t="str">
        <f>+IF(B6=0,"-",IF(D70=0,(B70/B6)*365,((B70+D70)/2)/B6*365))</f>
        <v>-</v>
      </c>
      <c r="C86" s="294"/>
      <c r="D86" s="293" t="str">
        <f>+IF(D6=0,"-",IF(F70=0,(D70/D6)*365,((D70+F70)/2)/D6*365))</f>
        <v>-</v>
      </c>
      <c r="E86" s="294"/>
      <c r="F86" s="293" t="str">
        <f>+IF(F6=0,"-",IF(H70=0,(F70/F6)*365,((F70+H70)/2)/F6*365))</f>
        <v>-</v>
      </c>
      <c r="G86" s="240"/>
    </row>
    <row r="87" spans="1:9" ht="20" x14ac:dyDescent="0.25">
      <c r="A87" s="335" t="s">
        <v>568</v>
      </c>
      <c r="B87" s="293" t="str">
        <f>+IF(B14=0,"-",IF(D69=0,B69/B14*365,(((D69+B69)/2)/B14)*365))</f>
        <v>-</v>
      </c>
      <c r="C87" s="294"/>
      <c r="D87" s="293" t="str">
        <f>+IF(D14=0,"-",IF(F69=0,D69/D14*365,(((F69+D69)/2)/D14)*365))</f>
        <v>-</v>
      </c>
      <c r="E87" s="294"/>
      <c r="F87" s="293" t="str">
        <f>+IF(F14=0,"-",IF(H69=0,F69/F14*365,(((H69+F69)/2)/F14)*365))</f>
        <v>-</v>
      </c>
      <c r="G87" s="240"/>
    </row>
    <row r="88" spans="1:9" ht="20" x14ac:dyDescent="0.25">
      <c r="A88" s="335" t="s">
        <v>569</v>
      </c>
      <c r="B88" s="293" t="str">
        <f>+IF(B11=0,"-",IF(D52=0,B52/B11*365,(((D52+B52)/2)/B11)*365))</f>
        <v>-</v>
      </c>
      <c r="C88" s="294"/>
      <c r="D88" s="293" t="str">
        <f>+IF(D11=0,"-",IF(F52=0,D52/D11*365,(((F52+D52)/2)/D11)*365))</f>
        <v>-</v>
      </c>
      <c r="E88" s="294"/>
      <c r="F88" s="293" t="str">
        <f>+IF(F11=0,"-",IF(H52=0,F52/F11*365,(((H52+F52)/2)/F11)*365))</f>
        <v>-</v>
      </c>
      <c r="G88" s="240"/>
    </row>
    <row r="89" spans="1:9" ht="20" x14ac:dyDescent="0.25">
      <c r="A89" s="335" t="s">
        <v>570</v>
      </c>
      <c r="B89" s="293" t="str">
        <f>+IFERROR(B86+B87-B88,"-")</f>
        <v>-</v>
      </c>
      <c r="C89" s="294"/>
      <c r="D89" s="293" t="str">
        <f>+IFERROR(D86+D87-D88,"-")</f>
        <v>-</v>
      </c>
      <c r="E89" s="294"/>
      <c r="F89" s="293" t="str">
        <f>+IFERROR(F86+F87-F88,"-")</f>
        <v>-</v>
      </c>
      <c r="G89" s="240"/>
    </row>
    <row r="90" spans="1:9" ht="20" x14ac:dyDescent="0.25">
      <c r="A90" s="335" t="s">
        <v>484</v>
      </c>
      <c r="B90" s="293" t="str">
        <f>+IFERROR(B75/B56,"-")</f>
        <v>-</v>
      </c>
      <c r="C90" s="294"/>
      <c r="D90" s="293" t="str">
        <f>+IFERROR(D75/D56,"-")</f>
        <v>-</v>
      </c>
      <c r="E90" s="294"/>
      <c r="F90" s="293" t="str">
        <f>+IFERROR(F75/F56,"-")</f>
        <v>-</v>
      </c>
      <c r="G90" s="240"/>
    </row>
    <row r="91" spans="1:9" ht="20" x14ac:dyDescent="0.25">
      <c r="A91" s="335" t="s">
        <v>571</v>
      </c>
      <c r="B91" s="293" t="str">
        <f>+IF(B6=0,"-",(B30+B24+B22)/(B24+(B46/3)))</f>
        <v>-</v>
      </c>
      <c r="C91" s="294"/>
      <c r="D91" s="293" t="str">
        <f>+IF(D6=0,"-",(D30+D24+D22)/(D24+(D46/3)))</f>
        <v>-</v>
      </c>
      <c r="E91" s="294"/>
      <c r="F91" s="293" t="str">
        <f>+IF(F6=0,"-",(F30+F24+F22)/(F24+(F46/3)))</f>
        <v>-</v>
      </c>
      <c r="G91" s="240"/>
    </row>
    <row r="92" spans="1:9" ht="20" x14ac:dyDescent="0.25">
      <c r="A92" s="335" t="s">
        <v>572</v>
      </c>
      <c r="B92" s="293" t="str">
        <f>+IF(B23=0,"-",(B23/B24))</f>
        <v>-</v>
      </c>
      <c r="C92" s="294"/>
      <c r="D92" s="293" t="str">
        <f>+IF(D23=0,"-",(D23/D24))</f>
        <v>-</v>
      </c>
      <c r="E92" s="294"/>
      <c r="F92" s="293" t="str">
        <f>+IF(F23=0,"-",(F23/F24))</f>
        <v>-</v>
      </c>
      <c r="G92" s="240"/>
    </row>
    <row r="93" spans="1:9" ht="20" x14ac:dyDescent="0.25">
      <c r="A93" s="335" t="s">
        <v>573</v>
      </c>
      <c r="B93" s="248" t="str">
        <f>C32</f>
        <v>-</v>
      </c>
      <c r="C93" s="294"/>
      <c r="D93" s="248" t="str">
        <f>E32</f>
        <v>-</v>
      </c>
      <c r="E93" s="294"/>
      <c r="F93" s="248"/>
      <c r="G93" s="240"/>
    </row>
    <row r="94" spans="1:9" ht="21" thickBot="1" x14ac:dyDescent="0.3">
      <c r="A94" s="336" t="s">
        <v>574</v>
      </c>
      <c r="B94" s="295" t="str">
        <f>+C6</f>
        <v>-</v>
      </c>
      <c r="C94" s="296"/>
      <c r="D94" s="295" t="str">
        <f>+E6</f>
        <v>-</v>
      </c>
      <c r="E94" s="296"/>
      <c r="F94" s="297"/>
      <c r="G94" s="240"/>
    </row>
    <row r="95" spans="1:9" ht="20" thickBot="1" x14ac:dyDescent="0.3">
      <c r="A95" s="298"/>
      <c r="B95" s="299"/>
      <c r="C95" s="299"/>
      <c r="D95" s="299"/>
      <c r="E95" s="299"/>
      <c r="F95" s="299"/>
      <c r="G95" s="289"/>
    </row>
    <row r="96" spans="1:9" ht="20" thickBot="1" x14ac:dyDescent="0.3">
      <c r="A96" s="548" t="s">
        <v>575</v>
      </c>
      <c r="B96" s="549"/>
      <c r="C96" s="549"/>
      <c r="D96" s="550"/>
      <c r="E96" s="300"/>
      <c r="F96" s="300"/>
      <c r="G96" s="541" t="s">
        <v>699</v>
      </c>
      <c r="H96" s="542"/>
      <c r="I96" s="543"/>
    </row>
    <row r="97" spans="1:9" ht="20" x14ac:dyDescent="0.25">
      <c r="A97" s="324"/>
      <c r="B97" s="332">
        <f>+B83</f>
        <v>46022</v>
      </c>
      <c r="C97" s="329"/>
      <c r="D97" s="333">
        <f>+D83</f>
        <v>45657</v>
      </c>
      <c r="E97" s="301"/>
      <c r="F97" s="302"/>
      <c r="G97" s="424" t="s">
        <v>10</v>
      </c>
      <c r="H97" s="422" t="s">
        <v>559</v>
      </c>
      <c r="I97" s="427">
        <f>B75</f>
        <v>0</v>
      </c>
    </row>
    <row r="98" spans="1:9" ht="40" x14ac:dyDescent="0.25">
      <c r="A98" s="331" t="s">
        <v>576</v>
      </c>
      <c r="B98" s="303">
        <f>+B30</f>
        <v>0</v>
      </c>
      <c r="C98" s="304"/>
      <c r="D98" s="305">
        <f>D30</f>
        <v>0</v>
      </c>
      <c r="E98" s="301"/>
      <c r="F98" s="302"/>
      <c r="G98" s="425" t="s">
        <v>19</v>
      </c>
      <c r="H98" s="353" t="s">
        <v>694</v>
      </c>
      <c r="I98" s="420">
        <f>B56-B53</f>
        <v>0</v>
      </c>
    </row>
    <row r="99" spans="1:9" ht="20" x14ac:dyDescent="0.25">
      <c r="A99" s="325" t="s">
        <v>577</v>
      </c>
      <c r="B99" s="303"/>
      <c r="C99" s="304"/>
      <c r="D99" s="305"/>
      <c r="E99" s="301"/>
      <c r="F99" s="302"/>
      <c r="G99" s="425" t="s">
        <v>21</v>
      </c>
      <c r="H99" s="353" t="s">
        <v>695</v>
      </c>
      <c r="I99" s="420">
        <f>I97-I98</f>
        <v>0</v>
      </c>
    </row>
    <row r="100" spans="1:9" ht="40" x14ac:dyDescent="0.25">
      <c r="A100" s="324" t="s">
        <v>578</v>
      </c>
      <c r="B100" s="303">
        <f>+B22</f>
        <v>0</v>
      </c>
      <c r="C100" s="304"/>
      <c r="D100" s="305">
        <f>D22</f>
        <v>0</v>
      </c>
      <c r="E100" s="301"/>
      <c r="F100" s="302"/>
      <c r="G100" s="425" t="s">
        <v>22</v>
      </c>
      <c r="H100" s="353" t="s">
        <v>698</v>
      </c>
      <c r="I100" s="420">
        <f>B53</f>
        <v>0</v>
      </c>
    </row>
    <row r="101" spans="1:9" ht="41" thickBot="1" x14ac:dyDescent="0.3">
      <c r="A101" s="324" t="s">
        <v>579</v>
      </c>
      <c r="B101" s="303">
        <f>+B19</f>
        <v>0</v>
      </c>
      <c r="C101" s="304"/>
      <c r="D101" s="305">
        <f>D19</f>
        <v>0</v>
      </c>
      <c r="E101" s="301"/>
      <c r="F101" s="302"/>
      <c r="G101" s="426" t="s">
        <v>24</v>
      </c>
      <c r="H101" s="423" t="s">
        <v>700</v>
      </c>
      <c r="I101" s="421">
        <f>I99-I100</f>
        <v>0</v>
      </c>
    </row>
    <row r="102" spans="1:9" ht="21" thickBot="1" x14ac:dyDescent="0.3">
      <c r="A102" s="326" t="s">
        <v>580</v>
      </c>
      <c r="B102" s="303">
        <f>B29</f>
        <v>0</v>
      </c>
      <c r="C102" s="304"/>
      <c r="D102" s="305">
        <f>D29</f>
        <v>0</v>
      </c>
      <c r="E102" s="301"/>
      <c r="F102" s="302"/>
      <c r="G102" s="425" t="s">
        <v>416</v>
      </c>
      <c r="H102" s="353" t="s">
        <v>701</v>
      </c>
      <c r="I102" s="421">
        <f>'Customer Details'!C69</f>
        <v>20000</v>
      </c>
    </row>
    <row r="103" spans="1:9" ht="20" x14ac:dyDescent="0.25">
      <c r="A103" s="327" t="s">
        <v>581</v>
      </c>
      <c r="B103" s="303">
        <f>B24</f>
        <v>0</v>
      </c>
      <c r="C103" s="304"/>
      <c r="D103" s="305">
        <f>D24</f>
        <v>0</v>
      </c>
      <c r="E103" s="301"/>
      <c r="F103" s="302"/>
      <c r="G103" s="425" t="s">
        <v>204</v>
      </c>
      <c r="H103" s="353" t="s">
        <v>697</v>
      </c>
      <c r="I103" s="420">
        <f>I101-I102</f>
        <v>-20000</v>
      </c>
    </row>
    <row r="104" spans="1:9" ht="21" thickBot="1" x14ac:dyDescent="0.3">
      <c r="A104" s="326" t="s">
        <v>514</v>
      </c>
      <c r="B104" s="303">
        <f>+B27</f>
        <v>0</v>
      </c>
      <c r="C104" s="304"/>
      <c r="D104" s="306">
        <f>+D27</f>
        <v>0</v>
      </c>
      <c r="E104" s="301"/>
      <c r="F104" s="302"/>
      <c r="G104" s="426" t="s">
        <v>25</v>
      </c>
      <c r="H104" s="423" t="s">
        <v>696</v>
      </c>
      <c r="I104" s="428" t="e">
        <f>I103/I101</f>
        <v>#DIV/0!</v>
      </c>
    </row>
    <row r="105" spans="1:9" ht="21" thickBot="1" x14ac:dyDescent="0.3">
      <c r="A105" s="328" t="s">
        <v>582</v>
      </c>
      <c r="B105" s="307"/>
      <c r="C105" s="304"/>
      <c r="D105" s="308"/>
      <c r="E105" s="301"/>
      <c r="F105" s="302"/>
      <c r="G105" s="240"/>
    </row>
    <row r="106" spans="1:9" ht="20" x14ac:dyDescent="0.25">
      <c r="A106" s="324" t="s">
        <v>513</v>
      </c>
      <c r="B106" s="307">
        <f>+B26</f>
        <v>0</v>
      </c>
      <c r="C106" s="304"/>
      <c r="D106" s="308">
        <f>+D26</f>
        <v>0</v>
      </c>
      <c r="E106" s="301"/>
      <c r="F106" s="302"/>
    </row>
    <row r="107" spans="1:9" ht="40" x14ac:dyDescent="0.25">
      <c r="A107" s="324" t="s">
        <v>583</v>
      </c>
      <c r="B107" s="307">
        <f>+B98+SUM(B100:B104)-B106</f>
        <v>0</v>
      </c>
      <c r="C107" s="304"/>
      <c r="D107" s="309">
        <f>+D98+SUM(D100:D104)-D106</f>
        <v>0</v>
      </c>
      <c r="E107" s="301"/>
      <c r="F107" s="302"/>
    </row>
    <row r="108" spans="1:9" ht="20" x14ac:dyDescent="0.25">
      <c r="A108" s="325" t="s">
        <v>584</v>
      </c>
      <c r="B108" s="307"/>
      <c r="C108" s="304"/>
      <c r="D108" s="308"/>
      <c r="E108" s="301"/>
      <c r="F108" s="302"/>
      <c r="G108" s="240"/>
    </row>
    <row r="109" spans="1:9" ht="20" x14ac:dyDescent="0.25">
      <c r="A109" s="324" t="s">
        <v>585</v>
      </c>
      <c r="B109" s="303">
        <f>D70-B70</f>
        <v>0</v>
      </c>
      <c r="C109" s="304"/>
      <c r="D109" s="306">
        <f>F70-D70</f>
        <v>0</v>
      </c>
      <c r="E109" s="301"/>
      <c r="F109" s="302"/>
      <c r="G109" s="240"/>
    </row>
    <row r="110" spans="1:9" ht="20" x14ac:dyDescent="0.25">
      <c r="A110" s="324" t="s">
        <v>553</v>
      </c>
      <c r="B110" s="303">
        <f>D69-B69</f>
        <v>0</v>
      </c>
      <c r="C110" s="304"/>
      <c r="D110" s="306">
        <f>F69-D69</f>
        <v>0</v>
      </c>
      <c r="E110" s="301"/>
      <c r="F110" s="302"/>
      <c r="G110" s="240"/>
    </row>
    <row r="111" spans="1:9" ht="20" x14ac:dyDescent="0.25">
      <c r="A111" s="326" t="s">
        <v>586</v>
      </c>
      <c r="B111" s="303">
        <f>B56-D56</f>
        <v>0</v>
      </c>
      <c r="C111" s="304"/>
      <c r="D111" s="306">
        <f>D56-F56</f>
        <v>0</v>
      </c>
      <c r="E111" s="301"/>
      <c r="F111" s="302"/>
      <c r="G111" s="240"/>
    </row>
    <row r="112" spans="1:9" ht="20" x14ac:dyDescent="0.25">
      <c r="A112" s="327" t="s">
        <v>7</v>
      </c>
      <c r="B112" s="303">
        <f>SUM(B109:B111)</f>
        <v>0</v>
      </c>
      <c r="C112" s="304"/>
      <c r="D112" s="305">
        <f>SUM(D109:D111)</f>
        <v>0</v>
      </c>
      <c r="E112" s="301"/>
      <c r="F112" s="302"/>
      <c r="G112" s="240"/>
    </row>
    <row r="113" spans="1:7" ht="20" x14ac:dyDescent="0.25">
      <c r="A113" s="326" t="s">
        <v>587</v>
      </c>
      <c r="B113" s="307">
        <f>B107+B112</f>
        <v>0</v>
      </c>
      <c r="C113" s="304"/>
      <c r="D113" s="308">
        <f>D107+D112</f>
        <v>0</v>
      </c>
      <c r="E113" s="301"/>
      <c r="F113" s="302"/>
      <c r="G113" s="240"/>
    </row>
    <row r="114" spans="1:7" ht="21" thickBot="1" x14ac:dyDescent="0.3">
      <c r="A114" s="328" t="s">
        <v>588</v>
      </c>
      <c r="B114" s="303"/>
      <c r="C114" s="304"/>
      <c r="D114" s="305"/>
      <c r="E114" s="301"/>
      <c r="F114" s="302"/>
      <c r="G114" s="240"/>
    </row>
    <row r="115" spans="1:7" ht="20" x14ac:dyDescent="0.25">
      <c r="A115" s="324" t="s">
        <v>589</v>
      </c>
      <c r="B115" s="310">
        <f>B29</f>
        <v>0</v>
      </c>
      <c r="C115" s="304"/>
      <c r="D115" s="311">
        <f>D29</f>
        <v>0</v>
      </c>
      <c r="E115" s="312"/>
      <c r="F115" s="302"/>
      <c r="G115" s="240"/>
    </row>
    <row r="116" spans="1:7" ht="21" thickBot="1" x14ac:dyDescent="0.3">
      <c r="A116" s="331" t="s">
        <v>590</v>
      </c>
      <c r="B116" s="313">
        <f>B113-B115</f>
        <v>0</v>
      </c>
      <c r="C116" s="314"/>
      <c r="D116" s="315">
        <f>D113-D115</f>
        <v>0</v>
      </c>
      <c r="E116" s="301"/>
      <c r="F116" s="302"/>
      <c r="G116" s="240"/>
    </row>
    <row r="117" spans="1:7" ht="20" thickBot="1" x14ac:dyDescent="0.3">
      <c r="A117" s="240"/>
      <c r="B117" s="316"/>
      <c r="C117" s="317"/>
      <c r="D117" s="316"/>
      <c r="E117" s="317"/>
      <c r="F117" s="316"/>
      <c r="G117" s="240"/>
    </row>
    <row r="118" spans="1:7" ht="21" customHeight="1" thickBot="1" x14ac:dyDescent="0.3">
      <c r="A118" s="551" t="s">
        <v>591</v>
      </c>
      <c r="B118" s="552"/>
      <c r="C118" s="552"/>
      <c r="D118" s="553"/>
      <c r="E118" s="317"/>
      <c r="F118" s="316"/>
      <c r="G118" s="240"/>
    </row>
    <row r="119" spans="1:7" ht="20" x14ac:dyDescent="0.25">
      <c r="A119" s="329" t="s">
        <v>592</v>
      </c>
      <c r="B119" s="329" t="s">
        <v>462</v>
      </c>
      <c r="C119" s="329" t="s">
        <v>593</v>
      </c>
      <c r="D119" s="329" t="s">
        <v>462</v>
      </c>
      <c r="E119" s="317"/>
      <c r="F119" s="316"/>
      <c r="G119" s="240"/>
    </row>
    <row r="120" spans="1:7" ht="20" x14ac:dyDescent="0.25">
      <c r="A120" s="324" t="s">
        <v>594</v>
      </c>
      <c r="B120" s="318"/>
      <c r="C120" s="324" t="s">
        <v>595</v>
      </c>
      <c r="D120" s="319"/>
    </row>
    <row r="121" spans="1:7" ht="20" x14ac:dyDescent="0.25">
      <c r="A121" s="324" t="s">
        <v>596</v>
      </c>
      <c r="B121" s="318"/>
      <c r="C121" s="325" t="s">
        <v>597</v>
      </c>
      <c r="D121" s="319"/>
    </row>
    <row r="122" spans="1:7" ht="20" x14ac:dyDescent="0.25">
      <c r="A122" s="325" t="s">
        <v>598</v>
      </c>
      <c r="B122" s="318"/>
      <c r="C122" s="324" t="s">
        <v>599</v>
      </c>
      <c r="D122" s="319"/>
    </row>
    <row r="123" spans="1:7" ht="20" x14ac:dyDescent="0.25">
      <c r="A123" s="324" t="s">
        <v>600</v>
      </c>
      <c r="B123" s="318"/>
      <c r="C123" s="324" t="s">
        <v>601</v>
      </c>
      <c r="D123" s="319"/>
    </row>
    <row r="124" spans="1:7" ht="20" x14ac:dyDescent="0.25">
      <c r="A124" s="324" t="s">
        <v>602</v>
      </c>
      <c r="B124" s="318"/>
      <c r="C124" s="326" t="s">
        <v>603</v>
      </c>
      <c r="D124" s="319"/>
    </row>
    <row r="125" spans="1:7" ht="20" x14ac:dyDescent="0.25">
      <c r="A125" s="326" t="s">
        <v>604</v>
      </c>
      <c r="B125" s="318"/>
      <c r="C125" s="327" t="s">
        <v>605</v>
      </c>
      <c r="D125" s="319"/>
    </row>
    <row r="126" spans="1:7" ht="20" x14ac:dyDescent="0.25">
      <c r="A126" s="327" t="s">
        <v>606</v>
      </c>
      <c r="B126" s="318"/>
      <c r="C126" s="326" t="s">
        <v>607</v>
      </c>
      <c r="D126" s="319"/>
    </row>
    <row r="127" spans="1:7" ht="21" thickBot="1" x14ac:dyDescent="0.3">
      <c r="A127" s="326" t="s">
        <v>608</v>
      </c>
      <c r="B127" s="318"/>
      <c r="C127" s="328" t="s">
        <v>609</v>
      </c>
      <c r="D127" s="319"/>
    </row>
    <row r="128" spans="1:7" ht="21" thickBot="1" x14ac:dyDescent="0.3">
      <c r="A128" s="328" t="s">
        <v>610</v>
      </c>
      <c r="B128" s="318"/>
      <c r="C128" s="324"/>
      <c r="D128" s="319"/>
    </row>
    <row r="129" spans="1:4" ht="21" thickBot="1" x14ac:dyDescent="0.3">
      <c r="A129" s="328" t="s">
        <v>611</v>
      </c>
      <c r="B129" s="318"/>
      <c r="C129" s="324"/>
      <c r="D129" s="319"/>
    </row>
    <row r="130" spans="1:4" ht="21" thickBot="1" x14ac:dyDescent="0.3">
      <c r="A130" s="330" t="s">
        <v>612</v>
      </c>
      <c r="B130" s="320">
        <f>SUM(B120:B129)</f>
        <v>0</v>
      </c>
      <c r="C130" s="330" t="s">
        <v>612</v>
      </c>
      <c r="D130" s="321">
        <f>SUM(D120:D129)</f>
        <v>0</v>
      </c>
    </row>
    <row r="131" spans="1:4" ht="21" thickBot="1" x14ac:dyDescent="0.3">
      <c r="A131" s="330" t="s">
        <v>613</v>
      </c>
      <c r="B131" s="322">
        <f>B130-D130</f>
        <v>0</v>
      </c>
    </row>
    <row r="132" spans="1:4" ht="21" thickBot="1" x14ac:dyDescent="0.3">
      <c r="A132" s="330" t="s">
        <v>614</v>
      </c>
      <c r="B132" s="323" t="e">
        <f>B130/D130</f>
        <v>#DIV/0!</v>
      </c>
    </row>
  </sheetData>
  <mergeCells count="11">
    <mergeCell ref="G96:I96"/>
    <mergeCell ref="A82:F82"/>
    <mergeCell ref="A96:D96"/>
    <mergeCell ref="A118:D118"/>
    <mergeCell ref="A1:F1"/>
    <mergeCell ref="A3:A4"/>
    <mergeCell ref="C3:C4"/>
    <mergeCell ref="E3:E4"/>
    <mergeCell ref="A34:A35"/>
    <mergeCell ref="C34:C35"/>
    <mergeCell ref="E34:E35"/>
  </mergeCells>
  <conditionalFormatting sqref="B109">
    <cfRule type="iconSet" priority="11">
      <iconSet iconSet="3Arrows">
        <cfvo type="percent" val="0"/>
        <cfvo type="num" val="0"/>
        <cfvo type="num" val="0"/>
      </iconSet>
    </cfRule>
  </conditionalFormatting>
  <conditionalFormatting sqref="B110:B111">
    <cfRule type="iconSet" priority="45">
      <iconSet iconSet="3Arrows">
        <cfvo type="percent" val="0"/>
        <cfvo type="num" val="0"/>
        <cfvo type="num" val="0"/>
      </iconSet>
    </cfRule>
  </conditionalFormatting>
  <conditionalFormatting sqref="C6:C32 E6:E32">
    <cfRule type="cellIs" dxfId="4" priority="44" operator="lessThan">
      <formula>0</formula>
    </cfRule>
  </conditionalFormatting>
  <conditionalFormatting sqref="C37:C59">
    <cfRule type="cellIs" dxfId="3" priority="21" operator="lessThan">
      <formula>0</formula>
    </cfRule>
  </conditionalFormatting>
  <conditionalFormatting sqref="C61:C80">
    <cfRule type="cellIs" dxfId="2" priority="42" operator="lessThan">
      <formula>0</formula>
    </cfRule>
  </conditionalFormatting>
  <conditionalFormatting sqref="D109:D111">
    <cfRule type="iconSet" priority="46">
      <iconSet iconSet="3Arrows">
        <cfvo type="percent" val="0"/>
        <cfvo type="num" val="0"/>
        <cfvo type="num" val="0"/>
      </iconSet>
    </cfRule>
  </conditionalFormatting>
  <conditionalFormatting sqref="E37:E59">
    <cfRule type="cellIs" dxfId="1" priority="43" operator="lessThan">
      <formula>0</formula>
    </cfRule>
  </conditionalFormatting>
  <conditionalFormatting sqref="E61:E80">
    <cfRule type="cellIs" dxfId="0" priority="41" operator="less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40" id="{7CEB5B8A-D6BD-5447-8971-ECA0A33FCA01}">
            <x14:iconSet custom="1">
              <x14:cfvo type="percent">
                <xm:f>0</xm:f>
              </x14:cfvo>
              <x14:cfvo type="num">
                <xm:f>$D$6</xm:f>
              </x14:cfvo>
              <x14:cfvo type="num">
                <xm:f>$D$6</xm:f>
              </x14:cfvo>
              <x14:cfIcon iconSet="3Arrows" iconId="0"/>
              <x14:cfIcon iconSet="3TrafficLights1" iconId="1"/>
              <x14:cfIcon iconSet="3Arrows" iconId="2"/>
            </x14:iconSet>
          </x14:cfRule>
          <xm:sqref>B6</xm:sqref>
        </x14:conditionalFormatting>
        <x14:conditionalFormatting xmlns:xm="http://schemas.microsoft.com/office/excel/2006/main">
          <x14:cfRule type="iconSet" priority="23" id="{00376C19-0AA0-144F-BBC0-209A762FE285}">
            <x14:iconSet custom="1">
              <x14:cfvo type="percent">
                <xm:f>0</xm:f>
              </x14:cfvo>
              <x14:cfvo type="num">
                <xm:f>$D$16</xm:f>
              </x14:cfvo>
              <x14:cfvo type="num">
                <xm:f>$D$16</xm:f>
              </x14:cfvo>
              <x14:cfIcon iconSet="3Arrows" iconId="0"/>
              <x14:cfIcon iconSet="3TrafficLights1" iconId="1"/>
              <x14:cfIcon iconSet="3Arrows" iconId="2"/>
            </x14:iconSet>
          </x14:cfRule>
          <xm:sqref>B16:B18</xm:sqref>
        </x14:conditionalFormatting>
        <x14:conditionalFormatting xmlns:xm="http://schemas.microsoft.com/office/excel/2006/main">
          <x14:cfRule type="iconSet" priority="33" id="{6F8C2442-D71F-1042-B252-59C04CD97D63}">
            <x14:iconSet custom="1">
              <x14:cfvo type="percent">
                <xm:f>0</xm:f>
              </x14:cfvo>
              <x14:cfvo type="num">
                <xm:f>$D$24</xm:f>
              </x14:cfvo>
              <x14:cfvo type="num">
                <xm:f>$D$24</xm:f>
              </x14:cfvo>
              <x14:cfIcon iconSet="3Arrows" iconId="0"/>
              <x14:cfIcon iconSet="NoIcons" iconId="0"/>
              <x14:cfIcon iconSet="3Arrows" iconId="2"/>
            </x14:iconSet>
          </x14:cfRule>
          <xm:sqref>B24</xm:sqref>
        </x14:conditionalFormatting>
        <x14:conditionalFormatting xmlns:xm="http://schemas.microsoft.com/office/excel/2006/main">
          <x14:cfRule type="iconSet" priority="38" id="{7C0484A4-E862-4A4D-95C4-CFB9DB2476CF}">
            <x14:iconSet custom="1">
              <x14:cfvo type="percent">
                <xm:f>0</xm:f>
              </x14:cfvo>
              <x14:cfvo type="num">
                <xm:f>$D$30</xm:f>
              </x14:cfvo>
              <x14:cfvo type="num">
                <xm:f>$D$30</xm:f>
              </x14:cfvo>
              <x14:cfIcon iconSet="3Arrows" iconId="0"/>
              <x14:cfIcon iconSet="NoIcons" iconId="0"/>
              <x14:cfIcon iconSet="3Arrows" iconId="2"/>
            </x14:iconSet>
          </x14:cfRule>
          <xm:sqref>B30:B31</xm:sqref>
        </x14:conditionalFormatting>
        <x14:conditionalFormatting xmlns:xm="http://schemas.microsoft.com/office/excel/2006/main">
          <x14:cfRule type="iconSet" priority="7" id="{93DB6C84-94D7-B648-957A-B24247204C5E}">
            <x14:iconSet custom="1">
              <x14:cfvo type="percent">
                <xm:f>0</xm:f>
              </x14:cfvo>
              <x14:cfvo type="num">
                <xm:f>+$D$32</xm:f>
              </x14:cfvo>
              <x14:cfvo type="num">
                <xm:f>+$D$32</xm:f>
              </x14:cfvo>
              <x14:cfIcon iconSet="3Arrows" iconId="0"/>
              <x14:cfIcon iconSet="3TrafficLights1" iconId="1"/>
              <x14:cfIcon iconSet="3Arrows" iconId="2"/>
            </x14:iconSet>
          </x14:cfRule>
          <xm:sqref>B32</xm:sqref>
        </x14:conditionalFormatting>
        <x14:conditionalFormatting xmlns:xm="http://schemas.microsoft.com/office/excel/2006/main">
          <x14:cfRule type="iconSet" priority="35" id="{E68254A6-790D-B144-8AA4-31A1D3695812}">
            <x14:iconSet custom="1">
              <x14:cfvo type="percent">
                <xm:f>0</xm:f>
              </x14:cfvo>
              <x14:cfvo type="num">
                <xm:f>$D$40</xm:f>
              </x14:cfvo>
              <x14:cfvo type="num">
                <xm:f>$D$40</xm:f>
              </x14:cfvo>
              <x14:cfIcon iconSet="3Arrows" iconId="0"/>
              <x14:cfIcon iconSet="NoIcons" iconId="0"/>
              <x14:cfIcon iconSet="3Arrows" iconId="2"/>
            </x14:iconSet>
          </x14:cfRule>
          <xm:sqref>B40</xm:sqref>
        </x14:conditionalFormatting>
        <x14:conditionalFormatting xmlns:xm="http://schemas.microsoft.com/office/excel/2006/main">
          <x14:cfRule type="iconSet" priority="20" id="{2672E580-CA4E-8A43-A25A-9DD97428B981}">
            <x14:iconSet custom="1">
              <x14:cfvo type="percent">
                <xm:f>0</xm:f>
              </x14:cfvo>
              <x14:cfvo type="num">
                <xm:f>$D$46</xm:f>
              </x14:cfvo>
              <x14:cfvo type="num">
                <xm:f>$D$46</xm:f>
              </x14:cfvo>
              <x14:cfIcon iconSet="3Arrows" iconId="0"/>
              <x14:cfIcon iconSet="NoIcons" iconId="0"/>
              <x14:cfIcon iconSet="3Arrows" iconId="2"/>
            </x14:iconSet>
          </x14:cfRule>
          <xm:sqref>B46</xm:sqref>
        </x14:conditionalFormatting>
        <x14:conditionalFormatting xmlns:xm="http://schemas.microsoft.com/office/excel/2006/main">
          <x14:cfRule type="iconSet" priority="36" id="{4A207151-2D64-DC43-AC93-9338201E353B}">
            <x14:iconSet custom="1">
              <x14:cfvo type="percent">
                <xm:f>0</xm:f>
              </x14:cfvo>
              <x14:cfvo type="num">
                <xm:f>$D$84</xm:f>
              </x14:cfvo>
              <x14:cfvo type="num">
                <xm:f>$D$84</xm:f>
              </x14:cfvo>
              <x14:cfIcon iconSet="3Arrows" iconId="0"/>
              <x14:cfIcon iconSet="3TrafficLights1" iconId="1"/>
              <x14:cfIcon iconSet="3Arrows" iconId="2"/>
            </x14:iconSet>
          </x14:cfRule>
          <xm:sqref>B84</xm:sqref>
        </x14:conditionalFormatting>
        <x14:conditionalFormatting xmlns:xm="http://schemas.microsoft.com/office/excel/2006/main">
          <x14:cfRule type="iconSet" priority="31" id="{949433D9-80D0-1347-BE10-FA458DB8786D}">
            <x14:iconSet custom="1">
              <x14:cfvo type="percent">
                <xm:f>0</xm:f>
              </x14:cfvo>
              <x14:cfvo type="num">
                <xm:f>$D$85</xm:f>
              </x14:cfvo>
              <x14:cfvo type="num">
                <xm:f>$D$85</xm:f>
              </x14:cfvo>
              <x14:cfIcon iconSet="3Arrows" iconId="0"/>
              <x14:cfIcon iconSet="3TrafficLights1" iconId="1"/>
              <x14:cfIcon iconSet="3Arrows" iconId="2"/>
            </x14:iconSet>
          </x14:cfRule>
          <xm:sqref>B85</xm:sqref>
        </x14:conditionalFormatting>
        <x14:conditionalFormatting xmlns:xm="http://schemas.microsoft.com/office/excel/2006/main">
          <x14:cfRule type="iconSet" priority="30" id="{3B61C04C-002A-C845-90A8-2EE09EF89889}">
            <x14:iconSet custom="1">
              <x14:cfvo type="percent">
                <xm:f>0</xm:f>
              </x14:cfvo>
              <x14:cfvo type="num">
                <xm:f>$D$86</xm:f>
              </x14:cfvo>
              <x14:cfvo type="num">
                <xm:f>$D$86</xm:f>
              </x14:cfvo>
              <x14:cfIcon iconSet="3Arrows" iconId="0"/>
              <x14:cfIcon iconSet="3TrafficLights1" iconId="1"/>
              <x14:cfIcon iconSet="3Arrows" iconId="2"/>
            </x14:iconSet>
          </x14:cfRule>
          <xm:sqref>B86</xm:sqref>
        </x14:conditionalFormatting>
        <x14:conditionalFormatting xmlns:xm="http://schemas.microsoft.com/office/excel/2006/main">
          <x14:cfRule type="iconSet" priority="29" id="{E90A4D36-3982-6C4C-BC83-4890C760D14C}">
            <x14:iconSet custom="1">
              <x14:cfvo type="percent">
                <xm:f>0</xm:f>
              </x14:cfvo>
              <x14:cfvo type="num">
                <xm:f>$D$87</xm:f>
              </x14:cfvo>
              <x14:cfvo type="num">
                <xm:f>$D$87</xm:f>
              </x14:cfvo>
              <x14:cfIcon iconSet="3Arrows" iconId="0"/>
              <x14:cfIcon iconSet="3TrafficLights1" iconId="1"/>
              <x14:cfIcon iconSet="3Arrows" iconId="2"/>
            </x14:iconSet>
          </x14:cfRule>
          <xm:sqref>B87</xm:sqref>
        </x14:conditionalFormatting>
        <x14:conditionalFormatting xmlns:xm="http://schemas.microsoft.com/office/excel/2006/main">
          <x14:cfRule type="iconSet" priority="28" id="{85B796C0-A54D-BD42-AE27-71A577B9C953}">
            <x14:iconSet custom="1">
              <x14:cfvo type="percent">
                <xm:f>0</xm:f>
              </x14:cfvo>
              <x14:cfvo type="num">
                <xm:f>$D$88</xm:f>
              </x14:cfvo>
              <x14:cfvo type="num">
                <xm:f>$D$88</xm:f>
              </x14:cfvo>
              <x14:cfIcon iconSet="3Arrows" iconId="0"/>
              <x14:cfIcon iconSet="3TrafficLights1" iconId="1"/>
              <x14:cfIcon iconSet="3Arrows" iconId="2"/>
            </x14:iconSet>
          </x14:cfRule>
          <xm:sqref>B88</xm:sqref>
        </x14:conditionalFormatting>
        <x14:conditionalFormatting xmlns:xm="http://schemas.microsoft.com/office/excel/2006/main">
          <x14:cfRule type="iconSet" priority="27" id="{249B9D26-7B6C-134B-BD4D-F62E79AA99ED}">
            <x14:iconSet custom="1">
              <x14:cfvo type="percent">
                <xm:f>0</xm:f>
              </x14:cfvo>
              <x14:cfvo type="num">
                <xm:f>$D$89</xm:f>
              </x14:cfvo>
              <x14:cfvo type="num">
                <xm:f>$D$89</xm:f>
              </x14:cfvo>
              <x14:cfIcon iconSet="3Arrows" iconId="0"/>
              <x14:cfIcon iconSet="3TrafficLights1" iconId="1"/>
              <x14:cfIcon iconSet="3Arrows" iconId="2"/>
            </x14:iconSet>
          </x14:cfRule>
          <xm:sqref>B89</xm:sqref>
        </x14:conditionalFormatting>
        <x14:conditionalFormatting xmlns:xm="http://schemas.microsoft.com/office/excel/2006/main">
          <x14:cfRule type="iconSet" priority="26" id="{954A221F-0293-3640-B1A3-8C8AA07A6BB4}">
            <x14:iconSet custom="1">
              <x14:cfvo type="percent">
                <xm:f>0</xm:f>
              </x14:cfvo>
              <x14:cfvo type="num">
                <xm:f>$D$90</xm:f>
              </x14:cfvo>
              <x14:cfvo type="num">
                <xm:f>$D$90</xm:f>
              </x14:cfvo>
              <x14:cfIcon iconSet="3Arrows" iconId="0"/>
              <x14:cfIcon iconSet="3TrafficLights1" iconId="1"/>
              <x14:cfIcon iconSet="3Arrows" iconId="2"/>
            </x14:iconSet>
          </x14:cfRule>
          <xm:sqref>B90:B92</xm:sqref>
        </x14:conditionalFormatting>
        <x14:conditionalFormatting xmlns:xm="http://schemas.microsoft.com/office/excel/2006/main">
          <x14:cfRule type="iconSet" priority="25" id="{0C874CFB-A4F1-F147-AFA2-273DA5BB52C5}">
            <x14:iconSet custom="1">
              <x14:cfvo type="percent">
                <xm:f>0</xm:f>
              </x14:cfvo>
              <x14:cfvo type="num">
                <xm:f>$D$93</xm:f>
              </x14:cfvo>
              <x14:cfvo type="num">
                <xm:f>$D$93</xm:f>
              </x14:cfvo>
              <x14:cfIcon iconSet="3Arrows" iconId="0"/>
              <x14:cfIcon iconSet="3TrafficLights1" iconId="1"/>
              <x14:cfIcon iconSet="3Arrows" iconId="2"/>
            </x14:iconSet>
          </x14:cfRule>
          <xm:sqref>B93</xm:sqref>
        </x14:conditionalFormatting>
        <x14:conditionalFormatting xmlns:xm="http://schemas.microsoft.com/office/excel/2006/main">
          <x14:cfRule type="iconSet" priority="24" id="{2C0E3091-D970-7C40-8CB7-E10A42429464}">
            <x14:iconSet custom="1">
              <x14:cfvo type="percent">
                <xm:f>0</xm:f>
              </x14:cfvo>
              <x14:cfvo type="num">
                <xm:f>$D$94</xm:f>
              </x14:cfvo>
              <x14:cfvo type="num">
                <xm:f>$D$94</xm:f>
              </x14:cfvo>
              <x14:cfIcon iconSet="3Arrows" iconId="0"/>
              <x14:cfIcon iconSet="3TrafficLights1" iconId="1"/>
              <x14:cfIcon iconSet="3Arrows" iconId="2"/>
            </x14:iconSet>
          </x14:cfRule>
          <xm:sqref>B94</xm:sqref>
        </x14:conditionalFormatting>
        <x14:conditionalFormatting xmlns:xm="http://schemas.microsoft.com/office/excel/2006/main">
          <x14:cfRule type="iconSet" priority="8" id="{86C83B6F-2BCF-E841-8BA2-307A822A9C8E}">
            <x14:iconSet custom="1">
              <x14:cfvo type="percent">
                <xm:f>0</xm:f>
              </x14:cfvo>
              <x14:cfvo type="num">
                <xm:f>$D$107</xm:f>
              </x14:cfvo>
              <x14:cfvo type="num">
                <xm:f>$D$107</xm:f>
              </x14:cfvo>
              <x14:cfIcon iconSet="3Arrows" iconId="0"/>
              <x14:cfIcon iconSet="3TrafficLights1" iconId="1"/>
              <x14:cfIcon iconSet="3Arrows" iconId="2"/>
            </x14:iconSet>
          </x14:cfRule>
          <xm:sqref>B107</xm:sqref>
        </x14:conditionalFormatting>
        <x14:conditionalFormatting xmlns:xm="http://schemas.microsoft.com/office/excel/2006/main">
          <x14:cfRule type="iconSet" priority="9" id="{763F903B-D9FE-EC42-A2E7-5FCABFB44AA2}">
            <x14:iconSet custom="1">
              <x14:cfvo type="percent">
                <xm:f>0</xm:f>
              </x14:cfvo>
              <x14:cfvo type="num">
                <xm:f>$D$113</xm:f>
              </x14:cfvo>
              <x14:cfvo type="num">
                <xm:f>$D$113</xm:f>
              </x14:cfvo>
              <x14:cfIcon iconSet="3Arrows" iconId="0"/>
              <x14:cfIcon iconSet="3TrafficLights1" iconId="1"/>
              <x14:cfIcon iconSet="3Arrows" iconId="2"/>
            </x14:iconSet>
          </x14:cfRule>
          <xm:sqref>B113</xm:sqref>
        </x14:conditionalFormatting>
        <x14:conditionalFormatting xmlns:xm="http://schemas.microsoft.com/office/excel/2006/main">
          <x14:cfRule type="iconSet" priority="10" id="{87B409F9-B062-D449-9F2A-658129D00EF5}">
            <x14:iconSet custom="1">
              <x14:cfvo type="percent">
                <xm:f>0</xm:f>
              </x14:cfvo>
              <x14:cfvo type="num">
                <xm:f>$D$116</xm:f>
              </x14:cfvo>
              <x14:cfvo type="num">
                <xm:f>$D$116</xm:f>
              </x14:cfvo>
              <x14:cfIcon iconSet="3Arrows" iconId="0"/>
              <x14:cfIcon iconSet="3TrafficLights1" iconId="1"/>
              <x14:cfIcon iconSet="3Arrows" iconId="2"/>
            </x14:iconSet>
          </x14:cfRule>
          <xm:sqref>B116</xm:sqref>
        </x14:conditionalFormatting>
        <x14:conditionalFormatting xmlns:xm="http://schemas.microsoft.com/office/excel/2006/main">
          <x14:cfRule type="iconSet" priority="39" id="{01A271D4-F91E-E744-A79D-0B818EF2F9A0}">
            <x14:iconSet custom="1">
              <x14:cfvo type="percent">
                <xm:f>0</xm:f>
              </x14:cfvo>
              <x14:cfvo type="num">
                <xm:f>$F$6</xm:f>
              </x14:cfvo>
              <x14:cfvo type="num">
                <xm:f>$F$6</xm:f>
              </x14:cfvo>
              <x14:cfIcon iconSet="3Arrows" iconId="0"/>
              <x14:cfIcon iconSet="3TrafficLights1" iconId="1"/>
              <x14:cfIcon iconSet="3Arrows" iconId="2"/>
            </x14:iconSet>
          </x14:cfRule>
          <xm:sqref>D6</xm:sqref>
        </x14:conditionalFormatting>
        <x14:conditionalFormatting xmlns:xm="http://schemas.microsoft.com/office/excel/2006/main">
          <x14:cfRule type="iconSet" priority="22" id="{60720E38-2A14-6C4F-8647-A7E10CE4E42D}">
            <x14:iconSet custom="1">
              <x14:cfvo type="percent">
                <xm:f>0</xm:f>
              </x14:cfvo>
              <x14:cfvo type="num">
                <xm:f>$F$16</xm:f>
              </x14:cfvo>
              <x14:cfvo type="num">
                <xm:f>$F$16</xm:f>
              </x14:cfvo>
              <x14:cfIcon iconSet="3Arrows" iconId="0"/>
              <x14:cfIcon iconSet="3TrafficLights1" iconId="1"/>
              <x14:cfIcon iconSet="3Arrows" iconId="2"/>
            </x14:iconSet>
          </x14:cfRule>
          <xm:sqref>D16:D18</xm:sqref>
        </x14:conditionalFormatting>
        <x14:conditionalFormatting xmlns:xm="http://schemas.microsoft.com/office/excel/2006/main">
          <x14:cfRule type="iconSet" priority="32" id="{BE3B786A-5346-654B-A627-F40D4480BFDD}">
            <x14:iconSet custom="1">
              <x14:cfvo type="percent">
                <xm:f>0</xm:f>
              </x14:cfvo>
              <x14:cfvo type="num">
                <xm:f>$F$24</xm:f>
              </x14:cfvo>
              <x14:cfvo type="num">
                <xm:f>$F$24</xm:f>
              </x14:cfvo>
              <x14:cfIcon iconSet="3Arrows" iconId="0"/>
              <x14:cfIcon iconSet="NoIcons" iconId="0"/>
              <x14:cfIcon iconSet="3Arrows" iconId="2"/>
            </x14:iconSet>
          </x14:cfRule>
          <xm:sqref>D24</xm:sqref>
        </x14:conditionalFormatting>
        <x14:conditionalFormatting xmlns:xm="http://schemas.microsoft.com/office/excel/2006/main">
          <x14:cfRule type="iconSet" priority="37" id="{006CAC5D-574E-E945-98F6-2444A8579093}">
            <x14:iconSet custom="1">
              <x14:cfvo type="percent">
                <xm:f>0</xm:f>
              </x14:cfvo>
              <x14:cfvo type="num">
                <xm:f>$F$30</xm:f>
              </x14:cfvo>
              <x14:cfvo type="num">
                <xm:f>$F$30</xm:f>
              </x14:cfvo>
              <x14:cfIcon iconSet="3Arrows" iconId="0"/>
              <x14:cfIcon iconSet="NoIcons" iconId="0"/>
              <x14:cfIcon iconSet="3Arrows" iconId="2"/>
            </x14:iconSet>
          </x14:cfRule>
          <xm:sqref>D30:D31</xm:sqref>
        </x14:conditionalFormatting>
        <x14:conditionalFormatting xmlns:xm="http://schemas.microsoft.com/office/excel/2006/main">
          <x14:cfRule type="iconSet" priority="6" id="{4DF9297E-5A6E-9F4A-B773-E89C45E7B458}">
            <x14:iconSet custom="1">
              <x14:cfvo type="percent">
                <xm:f>0</xm:f>
              </x14:cfvo>
              <x14:cfvo type="num">
                <xm:f>$F$32</xm:f>
              </x14:cfvo>
              <x14:cfvo type="num">
                <xm:f>+$F$32</xm:f>
              </x14:cfvo>
              <x14:cfIcon iconSet="3Arrows" iconId="0"/>
              <x14:cfIcon iconSet="3TrafficLights1" iconId="1"/>
              <x14:cfIcon iconSet="3Arrows" iconId="2"/>
            </x14:iconSet>
          </x14:cfRule>
          <xm:sqref>D32</xm:sqref>
        </x14:conditionalFormatting>
        <x14:conditionalFormatting xmlns:xm="http://schemas.microsoft.com/office/excel/2006/main">
          <x14:cfRule type="iconSet" priority="34" id="{3FA3D7C5-07B9-9140-ABAD-32318DE36DEB}">
            <x14:iconSet custom="1">
              <x14:cfvo type="percent">
                <xm:f>0</xm:f>
              </x14:cfvo>
              <x14:cfvo type="num">
                <xm:f>$F$40</xm:f>
              </x14:cfvo>
              <x14:cfvo type="num">
                <xm:f>$F$40</xm:f>
              </x14:cfvo>
              <x14:cfIcon iconSet="3Arrows" iconId="0"/>
              <x14:cfIcon iconSet="NoIcons" iconId="0"/>
              <x14:cfIcon iconSet="3Arrows" iconId="2"/>
            </x14:iconSet>
          </x14:cfRule>
          <xm:sqref>D40</xm:sqref>
        </x14:conditionalFormatting>
        <x14:conditionalFormatting xmlns:xm="http://schemas.microsoft.com/office/excel/2006/main">
          <x14:cfRule type="iconSet" priority="5" id="{8D95CFF5-90CC-A347-BE25-B19D4A411F9E}">
            <x14:iconSet custom="1">
              <x14:cfvo type="percent">
                <xm:f>0</xm:f>
              </x14:cfvo>
              <x14:cfvo type="num">
                <xm:f>$F$46</xm:f>
              </x14:cfvo>
              <x14:cfvo type="num">
                <xm:f>$F$46</xm:f>
              </x14:cfvo>
              <x14:cfIcon iconSet="3Arrows" iconId="0"/>
              <x14:cfIcon iconSet="3TrafficLights1" iconId="1"/>
              <x14:cfIcon iconSet="3Arrows" iconId="2"/>
            </x14:iconSet>
          </x14:cfRule>
          <xm:sqref>D46</xm:sqref>
        </x14:conditionalFormatting>
        <x14:conditionalFormatting xmlns:xm="http://schemas.microsoft.com/office/excel/2006/main">
          <x14:cfRule type="iconSet" priority="19" id="{4776D7D4-CC89-EE46-AEF7-490FB2F022AE}">
            <x14:iconSet custom="1">
              <x14:cfvo type="percent">
                <xm:f>0</xm:f>
              </x14:cfvo>
              <x14:cfvo type="num">
                <xm:f>$F$84</xm:f>
              </x14:cfvo>
              <x14:cfvo type="num">
                <xm:f>$F$84</xm:f>
              </x14:cfvo>
              <x14:cfIcon iconSet="3Arrows" iconId="0"/>
              <x14:cfIcon iconSet="3TrafficLights1" iconId="1"/>
              <x14:cfIcon iconSet="3Arrows" iconId="2"/>
            </x14:iconSet>
          </x14:cfRule>
          <xm:sqref>D84</xm:sqref>
        </x14:conditionalFormatting>
        <x14:conditionalFormatting xmlns:xm="http://schemas.microsoft.com/office/excel/2006/main">
          <x14:cfRule type="iconSet" priority="18" id="{CBE9566A-3CEA-2445-AC61-B432CC9F36EF}">
            <x14:iconSet custom="1">
              <x14:cfvo type="percent">
                <xm:f>0</xm:f>
              </x14:cfvo>
              <x14:cfvo type="num">
                <xm:f>$F$85</xm:f>
              </x14:cfvo>
              <x14:cfvo type="num">
                <xm:f>$F$85</xm:f>
              </x14:cfvo>
              <x14:cfIcon iconSet="3Arrows" iconId="0"/>
              <x14:cfIcon iconSet="3TrafficLights1" iconId="1"/>
              <x14:cfIcon iconSet="3Arrows" iconId="2"/>
            </x14:iconSet>
          </x14:cfRule>
          <xm:sqref>D85</xm:sqref>
        </x14:conditionalFormatting>
        <x14:conditionalFormatting xmlns:xm="http://schemas.microsoft.com/office/excel/2006/main">
          <x14:cfRule type="iconSet" priority="17" id="{9FA41693-B17C-0344-955C-10AEEE16807D}">
            <x14:iconSet custom="1">
              <x14:cfvo type="percent">
                <xm:f>0</xm:f>
              </x14:cfvo>
              <x14:cfvo type="num">
                <xm:f>$F$86</xm:f>
              </x14:cfvo>
              <x14:cfvo type="num">
                <xm:f>$F$86</xm:f>
              </x14:cfvo>
              <x14:cfIcon iconSet="3Arrows" iconId="0"/>
              <x14:cfIcon iconSet="3TrafficLights1" iconId="1"/>
              <x14:cfIcon iconSet="3Arrows" iconId="2"/>
            </x14:iconSet>
          </x14:cfRule>
          <xm:sqref>D86</xm:sqref>
        </x14:conditionalFormatting>
        <x14:conditionalFormatting xmlns:xm="http://schemas.microsoft.com/office/excel/2006/main">
          <x14:cfRule type="iconSet" priority="16" id="{4A424428-D9B1-AC45-B4AC-83BC14FC7C83}">
            <x14:iconSet custom="1">
              <x14:cfvo type="percent">
                <xm:f>0</xm:f>
              </x14:cfvo>
              <x14:cfvo type="num">
                <xm:f>$F$87</xm:f>
              </x14:cfvo>
              <x14:cfvo type="num">
                <xm:f>$F$87</xm:f>
              </x14:cfvo>
              <x14:cfIcon iconSet="3Arrows" iconId="0"/>
              <x14:cfIcon iconSet="3TrafficLights1" iconId="1"/>
              <x14:cfIcon iconSet="3Arrows" iconId="2"/>
            </x14:iconSet>
          </x14:cfRule>
          <xm:sqref>D87</xm:sqref>
        </x14:conditionalFormatting>
        <x14:conditionalFormatting xmlns:xm="http://schemas.microsoft.com/office/excel/2006/main">
          <x14:cfRule type="iconSet" priority="15" id="{1F928A1B-D957-6B43-947E-08E5893AB9DE}">
            <x14:iconSet custom="1">
              <x14:cfvo type="percent">
                <xm:f>0</xm:f>
              </x14:cfvo>
              <x14:cfvo type="num">
                <xm:f>$F$88</xm:f>
              </x14:cfvo>
              <x14:cfvo type="num">
                <xm:f>$F$88</xm:f>
              </x14:cfvo>
              <x14:cfIcon iconSet="3Arrows" iconId="0"/>
              <x14:cfIcon iconSet="3TrafficLights1" iconId="1"/>
              <x14:cfIcon iconSet="3Arrows" iconId="2"/>
            </x14:iconSet>
          </x14:cfRule>
          <xm:sqref>D88</xm:sqref>
        </x14:conditionalFormatting>
        <x14:conditionalFormatting xmlns:xm="http://schemas.microsoft.com/office/excel/2006/main">
          <x14:cfRule type="iconSet" priority="14" id="{B67D69D9-6265-8247-B415-2A103CDD6AB4}">
            <x14:iconSet custom="1">
              <x14:cfvo type="percent">
                <xm:f>0</xm:f>
              </x14:cfvo>
              <x14:cfvo type="num">
                <xm:f>$F$89</xm:f>
              </x14:cfvo>
              <x14:cfvo type="num">
                <xm:f>$F$89</xm:f>
              </x14:cfvo>
              <x14:cfIcon iconSet="3Arrows" iconId="0"/>
              <x14:cfIcon iconSet="3TrafficLights1" iconId="1"/>
              <x14:cfIcon iconSet="3Arrows" iconId="2"/>
            </x14:iconSet>
          </x14:cfRule>
          <xm:sqref>D89</xm:sqref>
        </x14:conditionalFormatting>
        <x14:conditionalFormatting xmlns:xm="http://schemas.microsoft.com/office/excel/2006/main">
          <x14:cfRule type="iconSet" priority="13" id="{FD4EE1A9-EE79-6342-B6DD-53138353F369}">
            <x14:iconSet custom="1">
              <x14:cfvo type="percent">
                <xm:f>0</xm:f>
              </x14:cfvo>
              <x14:cfvo type="num">
                <xm:f>$F$90</xm:f>
              </x14:cfvo>
              <x14:cfvo type="num">
                <xm:f>$F$90</xm:f>
              </x14:cfvo>
              <x14:cfIcon iconSet="3Arrows" iconId="0"/>
              <x14:cfIcon iconSet="3TrafficLights1" iconId="1"/>
              <x14:cfIcon iconSet="3Arrows" iconId="2"/>
            </x14:iconSet>
          </x14:cfRule>
          <xm:sqref>D90</xm:sqref>
        </x14:conditionalFormatting>
        <x14:conditionalFormatting xmlns:xm="http://schemas.microsoft.com/office/excel/2006/main">
          <x14:cfRule type="iconSet" priority="4" id="{E192A6FA-DB1E-6941-96AB-252839FE4151}">
            <x14:iconSet custom="1">
              <x14:cfvo type="percent">
                <xm:f>0</xm:f>
              </x14:cfvo>
              <x14:cfvo type="num">
                <xm:f>$D$90</xm:f>
              </x14:cfvo>
              <x14:cfvo type="num">
                <xm:f>$D$90</xm:f>
              </x14:cfvo>
              <x14:cfIcon iconSet="3Arrows" iconId="0"/>
              <x14:cfIcon iconSet="3TrafficLights1" iconId="1"/>
              <x14:cfIcon iconSet="3Arrows" iconId="2"/>
            </x14:iconSet>
          </x14:cfRule>
          <xm:sqref>D91</xm:sqref>
        </x14:conditionalFormatting>
        <x14:conditionalFormatting xmlns:xm="http://schemas.microsoft.com/office/excel/2006/main">
          <x14:cfRule type="iconSet" priority="2" id="{C7F2AAD5-989D-0444-B58E-D4979ADA12DC}">
            <x14:iconSet custom="1">
              <x14:cfvo type="percent">
                <xm:f>0</xm:f>
              </x14:cfvo>
              <x14:cfvo type="num">
                <xm:f>$D$90</xm:f>
              </x14:cfvo>
              <x14:cfvo type="num">
                <xm:f>$D$90</xm:f>
              </x14:cfvo>
              <x14:cfIcon iconSet="3Arrows" iconId="0"/>
              <x14:cfIcon iconSet="3TrafficLights1" iconId="1"/>
              <x14:cfIcon iconSet="3Arrows" iconId="2"/>
            </x14:iconSet>
          </x14:cfRule>
          <xm:sqref>D92</xm:sqref>
        </x14:conditionalFormatting>
        <x14:conditionalFormatting xmlns:xm="http://schemas.microsoft.com/office/excel/2006/main">
          <x14:cfRule type="iconSet" priority="12" id="{D994B157-15FF-994F-943A-3C920B316B58}">
            <x14:iconSet custom="1">
              <x14:cfvo type="percent">
                <xm:f>0</xm:f>
              </x14:cfvo>
              <x14:cfvo type="num">
                <xm:f>$F$93</xm:f>
              </x14:cfvo>
              <x14:cfvo type="num">
                <xm:f>$F$93</xm:f>
              </x14:cfvo>
              <x14:cfIcon iconSet="3Arrows" iconId="0"/>
              <x14:cfIcon iconSet="3TrafficLights1" iconId="1"/>
              <x14:cfIcon iconSet="3Arrows" iconId="2"/>
            </x14:iconSet>
          </x14:cfRule>
          <xm:sqref>D93</xm:sqref>
        </x14:conditionalFormatting>
        <x14:conditionalFormatting xmlns:xm="http://schemas.microsoft.com/office/excel/2006/main">
          <x14:cfRule type="iconSet" priority="3" id="{908220E8-271C-5C4B-8B24-7239BB360945}">
            <x14:iconSet custom="1">
              <x14:cfvo type="percent">
                <xm:f>0</xm:f>
              </x14:cfvo>
              <x14:cfvo type="num">
                <xm:f>$D$90</xm:f>
              </x14:cfvo>
              <x14:cfvo type="num">
                <xm:f>$D$90</xm:f>
              </x14:cfvo>
              <x14:cfIcon iconSet="3Arrows" iconId="0"/>
              <x14:cfIcon iconSet="3TrafficLights1" iconId="1"/>
              <x14:cfIcon iconSet="3Arrows" iconId="2"/>
            </x14:iconSet>
          </x14:cfRule>
          <xm:sqref>F91</xm:sqref>
        </x14:conditionalFormatting>
        <x14:conditionalFormatting xmlns:xm="http://schemas.microsoft.com/office/excel/2006/main">
          <x14:cfRule type="iconSet" priority="1" id="{A7E958B9-47FD-EA4D-A429-FE71A85D9A44}">
            <x14:iconSet custom="1">
              <x14:cfvo type="percent">
                <xm:f>0</xm:f>
              </x14:cfvo>
              <x14:cfvo type="num">
                <xm:f>$D$90</xm:f>
              </x14:cfvo>
              <x14:cfvo type="num">
                <xm:f>$D$90</xm:f>
              </x14:cfvo>
              <x14:cfIcon iconSet="3Arrows" iconId="0"/>
              <x14:cfIcon iconSet="3TrafficLights1" iconId="1"/>
              <x14:cfIcon iconSet="3Arrows" iconId="2"/>
            </x14:iconSet>
          </x14:cfRule>
          <xm:sqref>F92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2212-22AF-2F42-8364-A28CC12EC114}">
  <sheetPr>
    <tabColor theme="3"/>
  </sheetPr>
  <dimension ref="A1:W24"/>
  <sheetViews>
    <sheetView workbookViewId="0">
      <selection activeCell="L25" sqref="L25"/>
    </sheetView>
  </sheetViews>
  <sheetFormatPr baseColWidth="10" defaultColWidth="10.1640625" defaultRowHeight="19" x14ac:dyDescent="0.25"/>
  <cols>
    <col min="1" max="1" width="14.1640625" style="382" customWidth="1"/>
    <col min="2" max="3" width="10.5" style="383" customWidth="1"/>
    <col min="4" max="6" width="10.1640625" style="383"/>
    <col min="7" max="7" width="14.1640625" style="383" customWidth="1"/>
    <col min="8" max="8" width="10.5" style="383" customWidth="1"/>
    <col min="9" max="9" width="27.33203125" style="383" bestFit="1" customWidth="1"/>
    <col min="10" max="10" width="12.1640625" style="383" bestFit="1" customWidth="1"/>
    <col min="11" max="11" width="11.5" style="383" bestFit="1" customWidth="1"/>
    <col min="12" max="12" width="12" style="383" bestFit="1" customWidth="1"/>
    <col min="13" max="13" width="11.33203125" style="383" bestFit="1" customWidth="1"/>
    <col min="14" max="14" width="14.1640625" style="383" bestFit="1" customWidth="1"/>
    <col min="15" max="15" width="18" style="383" bestFit="1" customWidth="1"/>
    <col min="16" max="16" width="15.1640625" style="383" bestFit="1" customWidth="1"/>
    <col min="17" max="17" width="17.5" style="383" bestFit="1" customWidth="1"/>
    <col min="18" max="18" width="17.33203125" style="383" bestFit="1" customWidth="1"/>
    <col min="19" max="19" width="14.6640625" style="383" bestFit="1" customWidth="1"/>
    <col min="20" max="20" width="15.83203125" style="383" bestFit="1" customWidth="1"/>
    <col min="21" max="21" width="13.5" style="383" bestFit="1" customWidth="1"/>
    <col min="22" max="22" width="10.1640625" style="383"/>
    <col min="23" max="23" width="13.83203125" style="383" bestFit="1" customWidth="1"/>
    <col min="24" max="16384" width="10.1640625" style="383"/>
  </cols>
  <sheetData>
    <row r="1" spans="1:23" ht="20" thickBot="1" x14ac:dyDescent="0.3">
      <c r="G1" s="384" t="s">
        <v>692</v>
      </c>
      <c r="I1" s="241"/>
      <c r="J1" s="419" t="s">
        <v>489</v>
      </c>
      <c r="V1" s="384" t="s">
        <v>692</v>
      </c>
    </row>
    <row r="2" spans="1:23" ht="20" thickBot="1" x14ac:dyDescent="0.3">
      <c r="A2" s="563" t="s">
        <v>673</v>
      </c>
      <c r="B2" s="564"/>
      <c r="C2" s="565"/>
      <c r="D2" s="566"/>
      <c r="E2" s="567"/>
      <c r="F2" s="409" t="s">
        <v>674</v>
      </c>
      <c r="G2" s="385">
        <f>AVERAGE(B6:G11)</f>
        <v>0</v>
      </c>
      <c r="I2" s="568" t="s">
        <v>675</v>
      </c>
      <c r="J2" s="569"/>
      <c r="K2" s="569"/>
      <c r="L2" s="569"/>
      <c r="M2" s="569"/>
      <c r="N2" s="569"/>
      <c r="O2" s="569"/>
      <c r="P2" s="569"/>
      <c r="Q2" s="569"/>
      <c r="R2" s="569"/>
      <c r="S2" s="569"/>
      <c r="T2" s="569"/>
      <c r="U2" s="569"/>
      <c r="V2" s="570"/>
      <c r="W2" s="386" t="s">
        <v>676</v>
      </c>
    </row>
    <row r="3" spans="1:23" ht="20" thickBot="1" x14ac:dyDescent="0.3">
      <c r="A3" s="563" t="s">
        <v>677</v>
      </c>
      <c r="B3" s="564"/>
      <c r="C3" s="565" t="s">
        <v>678</v>
      </c>
      <c r="D3" s="566"/>
      <c r="E3" s="567"/>
      <c r="F3" s="409"/>
      <c r="G3" s="387"/>
      <c r="I3" s="412" t="s">
        <v>44</v>
      </c>
      <c r="J3" s="415">
        <f t="shared" ref="J3:S3" si="0">+EDATE(K3,-1)</f>
        <v>45320</v>
      </c>
      <c r="K3" s="415">
        <f t="shared" si="0"/>
        <v>45351</v>
      </c>
      <c r="L3" s="415">
        <f t="shared" si="0"/>
        <v>45381</v>
      </c>
      <c r="M3" s="415">
        <f t="shared" si="0"/>
        <v>45412</v>
      </c>
      <c r="N3" s="415">
        <f t="shared" si="0"/>
        <v>45442</v>
      </c>
      <c r="O3" s="415">
        <f t="shared" si="0"/>
        <v>45473</v>
      </c>
      <c r="P3" s="415">
        <f t="shared" si="0"/>
        <v>45503</v>
      </c>
      <c r="Q3" s="415">
        <f t="shared" si="0"/>
        <v>45534</v>
      </c>
      <c r="R3" s="415">
        <f t="shared" si="0"/>
        <v>45565</v>
      </c>
      <c r="S3" s="415">
        <f t="shared" si="0"/>
        <v>45595</v>
      </c>
      <c r="T3" s="415">
        <f>+EDATE(U3,-1)</f>
        <v>45626</v>
      </c>
      <c r="U3" s="388">
        <v>45657</v>
      </c>
      <c r="V3" s="389"/>
      <c r="W3" s="386"/>
    </row>
    <row r="4" spans="1:23" ht="20" thickBot="1" x14ac:dyDescent="0.3">
      <c r="A4" s="571"/>
      <c r="B4" s="572"/>
      <c r="C4" s="573"/>
      <c r="D4" s="574"/>
      <c r="E4" s="572"/>
      <c r="F4" s="572"/>
      <c r="G4" s="573"/>
      <c r="I4" s="413" t="s">
        <v>679</v>
      </c>
      <c r="J4" s="390">
        <v>0</v>
      </c>
      <c r="K4" s="390">
        <v>0</v>
      </c>
      <c r="L4" s="391">
        <v>0</v>
      </c>
      <c r="M4" s="390">
        <v>0</v>
      </c>
      <c r="N4" s="390">
        <v>0</v>
      </c>
      <c r="O4" s="390">
        <v>0</v>
      </c>
      <c r="P4" s="390">
        <v>0</v>
      </c>
      <c r="Q4" s="390">
        <v>0</v>
      </c>
      <c r="R4" s="391">
        <v>0</v>
      </c>
      <c r="S4" s="390">
        <v>0</v>
      </c>
      <c r="T4" s="390">
        <v>0</v>
      </c>
      <c r="U4" s="390">
        <v>0</v>
      </c>
      <c r="V4" s="392">
        <f t="shared" ref="V4:V6" si="1">SUM(J4:U4)</f>
        <v>0</v>
      </c>
      <c r="W4" s="393"/>
    </row>
    <row r="5" spans="1:23" ht="21" thickBot="1" x14ac:dyDescent="0.3">
      <c r="A5" s="410" t="s">
        <v>680</v>
      </c>
      <c r="B5" s="411">
        <f t="shared" ref="B5:F5" si="2">+P3</f>
        <v>45503</v>
      </c>
      <c r="C5" s="411">
        <f t="shared" si="2"/>
        <v>45534</v>
      </c>
      <c r="D5" s="411">
        <f t="shared" si="2"/>
        <v>45565</v>
      </c>
      <c r="E5" s="411">
        <f t="shared" si="2"/>
        <v>45595</v>
      </c>
      <c r="F5" s="411">
        <f t="shared" si="2"/>
        <v>45626</v>
      </c>
      <c r="G5" s="411">
        <f>+U3</f>
        <v>45657</v>
      </c>
      <c r="I5" s="414" t="s">
        <v>681</v>
      </c>
      <c r="J5" s="394">
        <v>0</v>
      </c>
      <c r="K5" s="394">
        <v>0</v>
      </c>
      <c r="L5" s="395">
        <v>0</v>
      </c>
      <c r="M5" s="394">
        <v>0</v>
      </c>
      <c r="N5" s="394">
        <v>0</v>
      </c>
      <c r="O5" s="394">
        <v>0</v>
      </c>
      <c r="P5" s="394">
        <v>0</v>
      </c>
      <c r="Q5" s="394">
        <v>0</v>
      </c>
      <c r="R5" s="395">
        <v>0</v>
      </c>
      <c r="S5" s="394">
        <v>0</v>
      </c>
      <c r="T5" s="394">
        <v>0</v>
      </c>
      <c r="U5" s="394">
        <v>0</v>
      </c>
      <c r="V5" s="396">
        <f t="shared" si="1"/>
        <v>0</v>
      </c>
      <c r="W5" s="393"/>
    </row>
    <row r="6" spans="1:23" ht="21" thickBot="1" x14ac:dyDescent="0.3">
      <c r="A6" s="410" t="s">
        <v>68</v>
      </c>
      <c r="B6" s="397">
        <v>0</v>
      </c>
      <c r="C6" s="397">
        <v>0</v>
      </c>
      <c r="D6" s="397">
        <v>0</v>
      </c>
      <c r="E6" s="397">
        <v>0</v>
      </c>
      <c r="F6" s="397">
        <v>0</v>
      </c>
      <c r="G6" s="398">
        <v>0</v>
      </c>
      <c r="I6" s="412" t="s">
        <v>682</v>
      </c>
      <c r="J6" s="399">
        <f>SUM(J4:J5)</f>
        <v>0</v>
      </c>
      <c r="K6" s="399">
        <f t="shared" ref="K6:U6" si="3">SUM(K4:K5)</f>
        <v>0</v>
      </c>
      <c r="L6" s="400">
        <f t="shared" si="3"/>
        <v>0</v>
      </c>
      <c r="M6" s="399">
        <f t="shared" si="3"/>
        <v>0</v>
      </c>
      <c r="N6" s="399">
        <f t="shared" si="3"/>
        <v>0</v>
      </c>
      <c r="O6" s="399">
        <f t="shared" si="3"/>
        <v>0</v>
      </c>
      <c r="P6" s="399">
        <f t="shared" si="3"/>
        <v>0</v>
      </c>
      <c r="Q6" s="399">
        <f t="shared" si="3"/>
        <v>0</v>
      </c>
      <c r="R6" s="400">
        <f t="shared" si="3"/>
        <v>0</v>
      </c>
      <c r="S6" s="399">
        <f t="shared" si="3"/>
        <v>0</v>
      </c>
      <c r="T6" s="399">
        <f t="shared" si="3"/>
        <v>0</v>
      </c>
      <c r="U6" s="399">
        <f t="shared" si="3"/>
        <v>0</v>
      </c>
      <c r="V6" s="401">
        <f t="shared" si="1"/>
        <v>0</v>
      </c>
      <c r="W6" s="393"/>
    </row>
    <row r="7" spans="1:23" ht="21" thickBot="1" x14ac:dyDescent="0.3">
      <c r="A7" s="410" t="s">
        <v>683</v>
      </c>
      <c r="B7" s="397">
        <v>0</v>
      </c>
      <c r="C7" s="397">
        <v>0</v>
      </c>
      <c r="D7" s="397">
        <v>0</v>
      </c>
      <c r="E7" s="397">
        <v>0</v>
      </c>
      <c r="F7" s="397">
        <v>0</v>
      </c>
      <c r="G7" s="398">
        <v>0</v>
      </c>
      <c r="W7" s="402"/>
    </row>
    <row r="8" spans="1:23" ht="21" thickBot="1" x14ac:dyDescent="0.3">
      <c r="A8" s="410" t="s">
        <v>684</v>
      </c>
      <c r="B8" s="397">
        <v>0</v>
      </c>
      <c r="C8" s="397">
        <v>0</v>
      </c>
      <c r="D8" s="397">
        <v>0</v>
      </c>
      <c r="E8" s="397">
        <v>0</v>
      </c>
      <c r="F8" s="397">
        <v>0</v>
      </c>
      <c r="G8" s="398">
        <v>0</v>
      </c>
      <c r="I8" s="403" t="s">
        <v>685</v>
      </c>
      <c r="W8" s="393"/>
    </row>
    <row r="9" spans="1:23" ht="21" thickBot="1" x14ac:dyDescent="0.3">
      <c r="A9" s="410" t="s">
        <v>686</v>
      </c>
      <c r="B9" s="397">
        <v>0</v>
      </c>
      <c r="C9" s="397">
        <v>0</v>
      </c>
      <c r="D9" s="397">
        <v>0</v>
      </c>
      <c r="E9" s="397">
        <v>0</v>
      </c>
      <c r="F9" s="397">
        <v>0</v>
      </c>
      <c r="G9" s="398">
        <v>0</v>
      </c>
      <c r="I9" s="575" t="s">
        <v>687</v>
      </c>
      <c r="J9" s="575"/>
      <c r="K9" s="575"/>
      <c r="L9" s="575"/>
      <c r="M9" s="575"/>
      <c r="N9" s="575"/>
      <c r="O9" s="575"/>
    </row>
    <row r="10" spans="1:23" ht="21" thickBot="1" x14ac:dyDescent="0.3">
      <c r="A10" s="410" t="s">
        <v>688</v>
      </c>
      <c r="B10" s="397">
        <v>0</v>
      </c>
      <c r="C10" s="397">
        <v>0</v>
      </c>
      <c r="D10" s="397">
        <v>0</v>
      </c>
      <c r="E10" s="397">
        <v>0</v>
      </c>
      <c r="F10" s="397">
        <v>0</v>
      </c>
      <c r="G10" s="398">
        <v>0</v>
      </c>
    </row>
    <row r="11" spans="1:23" ht="41" thickBot="1" x14ac:dyDescent="0.3">
      <c r="A11" s="410" t="s">
        <v>689</v>
      </c>
      <c r="B11" s="404">
        <v>0</v>
      </c>
      <c r="C11" s="404">
        <v>0</v>
      </c>
      <c r="D11" s="404">
        <v>0</v>
      </c>
      <c r="E11" s="404">
        <v>0</v>
      </c>
      <c r="F11" s="404">
        <v>0</v>
      </c>
      <c r="G11" s="405">
        <v>0</v>
      </c>
      <c r="I11" s="393"/>
      <c r="J11" s="393"/>
      <c r="K11" s="393"/>
      <c r="L11" s="393"/>
      <c r="M11" s="393"/>
      <c r="N11" s="393"/>
      <c r="O11" s="393"/>
    </row>
    <row r="12" spans="1:23" ht="20" thickBot="1" x14ac:dyDescent="0.3">
      <c r="I12" s="393"/>
      <c r="J12" s="393"/>
      <c r="K12" s="393"/>
      <c r="L12" s="393"/>
      <c r="M12" s="393"/>
      <c r="N12" s="393"/>
      <c r="O12" s="393"/>
    </row>
    <row r="13" spans="1:23" ht="20" thickBot="1" x14ac:dyDescent="0.3">
      <c r="A13" s="563" t="s">
        <v>673</v>
      </c>
      <c r="B13" s="564"/>
      <c r="C13" s="565"/>
      <c r="D13" s="566"/>
      <c r="E13" s="567"/>
      <c r="F13" s="409" t="s">
        <v>674</v>
      </c>
      <c r="G13" s="385">
        <f>AVERAGE(B16:G21)</f>
        <v>0</v>
      </c>
      <c r="I13" s="393"/>
      <c r="J13" s="393"/>
      <c r="K13" s="393"/>
      <c r="L13" s="393"/>
      <c r="M13" s="393"/>
      <c r="N13" s="393"/>
      <c r="O13" s="393"/>
      <c r="P13" s="393"/>
      <c r="Q13" s="393"/>
      <c r="R13" s="393"/>
      <c r="S13" s="393"/>
      <c r="T13" s="393"/>
      <c r="U13" s="393"/>
      <c r="V13" s="393"/>
    </row>
    <row r="14" spans="1:23" ht="20" thickBot="1" x14ac:dyDescent="0.3">
      <c r="A14" s="563" t="s">
        <v>677</v>
      </c>
      <c r="B14" s="564"/>
      <c r="C14" s="565" t="s">
        <v>678</v>
      </c>
      <c r="D14" s="566"/>
      <c r="E14" s="567"/>
      <c r="F14" s="409"/>
      <c r="G14" s="387"/>
      <c r="I14" s="416" t="s">
        <v>693</v>
      </c>
      <c r="J14" s="406">
        <f>SUM(J6:U6)</f>
        <v>0</v>
      </c>
      <c r="K14" s="242"/>
      <c r="L14" s="242"/>
      <c r="O14" s="242"/>
      <c r="P14" s="242"/>
      <c r="Q14" s="242"/>
      <c r="R14" s="242"/>
      <c r="S14" s="242"/>
      <c r="T14" s="242"/>
      <c r="U14" s="242"/>
      <c r="V14" s="562"/>
    </row>
    <row r="15" spans="1:23" ht="21" thickBot="1" x14ac:dyDescent="0.3">
      <c r="A15" s="410" t="s">
        <v>680</v>
      </c>
      <c r="B15" s="411">
        <f t="shared" ref="B15:F15" si="4">+P3</f>
        <v>45503</v>
      </c>
      <c r="C15" s="411">
        <f t="shared" si="4"/>
        <v>45534</v>
      </c>
      <c r="D15" s="411">
        <f t="shared" si="4"/>
        <v>45565</v>
      </c>
      <c r="E15" s="411">
        <f t="shared" si="4"/>
        <v>45595</v>
      </c>
      <c r="F15" s="411">
        <f t="shared" si="4"/>
        <v>45626</v>
      </c>
      <c r="G15" s="411">
        <f>+U3</f>
        <v>45657</v>
      </c>
      <c r="I15" s="417" t="s">
        <v>690</v>
      </c>
      <c r="J15" s="418" t="e">
        <f>J14/'Financial Analysis &gt;$50000'!D7</f>
        <v>#DIV/0!</v>
      </c>
      <c r="K15" s="407"/>
      <c r="L15" s="407"/>
      <c r="M15" s="407"/>
      <c r="N15" s="407"/>
      <c r="O15" s="407"/>
      <c r="P15" s="407"/>
      <c r="Q15" s="407"/>
      <c r="R15" s="407"/>
      <c r="S15" s="407"/>
      <c r="T15" s="407"/>
      <c r="U15" s="407"/>
      <c r="V15" s="562"/>
    </row>
    <row r="16" spans="1:23" ht="21" thickBot="1" x14ac:dyDescent="0.3">
      <c r="A16" s="410" t="s">
        <v>68</v>
      </c>
      <c r="B16" s="397">
        <v>0</v>
      </c>
      <c r="C16" s="397">
        <v>0</v>
      </c>
      <c r="D16" s="397">
        <v>0</v>
      </c>
      <c r="E16" s="397">
        <v>0</v>
      </c>
      <c r="F16" s="397">
        <v>0</v>
      </c>
      <c r="G16" s="398">
        <v>0</v>
      </c>
      <c r="I16" s="402"/>
      <c r="J16" s="402"/>
      <c r="K16" s="402"/>
      <c r="L16" s="402"/>
      <c r="M16" s="402"/>
      <c r="N16" s="402"/>
      <c r="O16" s="402"/>
      <c r="P16" s="402"/>
      <c r="Q16" s="402"/>
      <c r="R16" s="402"/>
      <c r="S16" s="402"/>
      <c r="T16" s="402"/>
      <c r="U16" s="402"/>
      <c r="V16" s="408"/>
    </row>
    <row r="17" spans="1:21" ht="21" thickBot="1" x14ac:dyDescent="0.3">
      <c r="A17" s="410" t="s">
        <v>683</v>
      </c>
      <c r="B17" s="397">
        <v>0</v>
      </c>
      <c r="C17" s="397">
        <v>0</v>
      </c>
      <c r="D17" s="397">
        <v>0</v>
      </c>
      <c r="E17" s="397">
        <v>0</v>
      </c>
      <c r="F17" s="397">
        <v>0</v>
      </c>
      <c r="G17" s="398">
        <v>0</v>
      </c>
      <c r="I17" s="402"/>
      <c r="J17" s="402"/>
      <c r="K17" s="402"/>
      <c r="L17" s="402"/>
      <c r="M17" s="402"/>
      <c r="N17" s="402"/>
      <c r="O17" s="402"/>
      <c r="P17" s="402"/>
      <c r="Q17" s="402"/>
      <c r="R17" s="402"/>
      <c r="S17" s="402"/>
      <c r="T17" s="402"/>
      <c r="U17" s="402"/>
    </row>
    <row r="18" spans="1:21" ht="21" thickBot="1" x14ac:dyDescent="0.3">
      <c r="A18" s="410" t="s">
        <v>684</v>
      </c>
      <c r="B18" s="397">
        <v>0</v>
      </c>
      <c r="C18" s="397">
        <v>0</v>
      </c>
      <c r="D18" s="397">
        <v>0</v>
      </c>
      <c r="E18" s="397">
        <v>0</v>
      </c>
      <c r="F18" s="397">
        <v>0</v>
      </c>
      <c r="G18" s="398">
        <v>0</v>
      </c>
      <c r="I18" s="402"/>
      <c r="J18" s="402"/>
      <c r="K18" s="402"/>
      <c r="L18" s="402"/>
      <c r="M18" s="402"/>
      <c r="N18" s="402"/>
      <c r="O18" s="402"/>
      <c r="P18" s="402"/>
      <c r="Q18" s="402"/>
      <c r="R18" s="402"/>
      <c r="S18" s="402"/>
      <c r="T18" s="402"/>
      <c r="U18" s="402"/>
    </row>
    <row r="19" spans="1:21" ht="21" thickBot="1" x14ac:dyDescent="0.3">
      <c r="A19" s="410" t="s">
        <v>686</v>
      </c>
      <c r="B19" s="397">
        <v>0</v>
      </c>
      <c r="C19" s="397">
        <v>0</v>
      </c>
      <c r="D19" s="397">
        <v>0</v>
      </c>
      <c r="E19" s="397">
        <v>0</v>
      </c>
      <c r="F19" s="397">
        <v>0</v>
      </c>
      <c r="G19" s="398">
        <v>0</v>
      </c>
      <c r="I19" s="402"/>
      <c r="J19" s="402"/>
      <c r="K19" s="402"/>
      <c r="L19" s="402"/>
      <c r="M19" s="402"/>
      <c r="N19" s="402"/>
      <c r="O19" s="402"/>
      <c r="P19" s="402"/>
      <c r="Q19" s="402"/>
      <c r="R19" s="402"/>
      <c r="S19" s="402"/>
      <c r="T19" s="402"/>
      <c r="U19" s="402"/>
    </row>
    <row r="20" spans="1:21" ht="21" thickBot="1" x14ac:dyDescent="0.3">
      <c r="A20" s="410" t="s">
        <v>688</v>
      </c>
      <c r="B20" s="397">
        <v>0</v>
      </c>
      <c r="C20" s="397">
        <v>0</v>
      </c>
      <c r="D20" s="397">
        <v>0</v>
      </c>
      <c r="E20" s="397">
        <v>0</v>
      </c>
      <c r="F20" s="397">
        <v>0</v>
      </c>
      <c r="G20" s="398">
        <v>0</v>
      </c>
      <c r="I20" s="402"/>
      <c r="J20" s="402"/>
      <c r="K20" s="402"/>
      <c r="L20" s="402"/>
      <c r="M20" s="402"/>
      <c r="N20" s="402"/>
      <c r="O20" s="402"/>
      <c r="P20" s="402"/>
      <c r="Q20" s="402"/>
      <c r="R20" s="402"/>
      <c r="S20" s="402"/>
      <c r="T20" s="402"/>
      <c r="U20" s="402"/>
    </row>
    <row r="21" spans="1:21" ht="41" thickBot="1" x14ac:dyDescent="0.3">
      <c r="A21" s="410" t="s">
        <v>689</v>
      </c>
      <c r="B21" s="404">
        <v>0</v>
      </c>
      <c r="C21" s="404">
        <v>0</v>
      </c>
      <c r="D21" s="404">
        <v>0</v>
      </c>
      <c r="E21" s="404">
        <v>0</v>
      </c>
      <c r="F21" s="404">
        <v>0</v>
      </c>
      <c r="G21" s="405">
        <v>0</v>
      </c>
      <c r="I21" s="402"/>
      <c r="J21" s="402"/>
      <c r="K21" s="402"/>
      <c r="L21" s="402"/>
      <c r="M21" s="402"/>
      <c r="N21" s="402"/>
      <c r="O21" s="402"/>
      <c r="P21" s="402"/>
      <c r="Q21" s="402"/>
      <c r="R21" s="402"/>
      <c r="S21" s="402"/>
      <c r="T21" s="402"/>
      <c r="U21" s="402"/>
    </row>
    <row r="22" spans="1:21" x14ac:dyDescent="0.25">
      <c r="I22" s="402"/>
      <c r="J22" s="402"/>
      <c r="K22" s="402"/>
      <c r="L22" s="402"/>
      <c r="M22" s="402"/>
      <c r="N22" s="402"/>
      <c r="O22" s="402"/>
      <c r="P22" s="402"/>
      <c r="Q22" s="402"/>
      <c r="R22" s="402"/>
      <c r="S22" s="402"/>
      <c r="T22" s="402"/>
      <c r="U22" s="402"/>
    </row>
    <row r="23" spans="1:21" ht="20" x14ac:dyDescent="0.25">
      <c r="A23" s="403" t="s">
        <v>685</v>
      </c>
    </row>
    <row r="24" spans="1:21" x14ac:dyDescent="0.25">
      <c r="A24" s="575" t="s">
        <v>691</v>
      </c>
      <c r="B24" s="575"/>
      <c r="C24" s="575"/>
      <c r="D24" s="575"/>
      <c r="E24" s="575"/>
      <c r="F24" s="575"/>
      <c r="G24" s="575"/>
    </row>
  </sheetData>
  <mergeCells count="14">
    <mergeCell ref="A24:G24"/>
    <mergeCell ref="I9:O9"/>
    <mergeCell ref="A13:B13"/>
    <mergeCell ref="C13:E13"/>
    <mergeCell ref="A14:B14"/>
    <mergeCell ref="C14:E14"/>
    <mergeCell ref="V14:V15"/>
    <mergeCell ref="A2:B2"/>
    <mergeCell ref="C2:E2"/>
    <mergeCell ref="I2:V2"/>
    <mergeCell ref="A3:B3"/>
    <mergeCell ref="C3:E3"/>
    <mergeCell ref="A4:C4"/>
    <mergeCell ref="D4:G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E9E7F-3310-E54D-9D5D-E2F4AF5F2394}">
  <sheetPr>
    <tabColor theme="5"/>
  </sheetPr>
  <dimension ref="B1:G43"/>
  <sheetViews>
    <sheetView zoomScale="120" zoomScaleNormal="120" workbookViewId="0">
      <selection activeCell="F24" sqref="F24"/>
    </sheetView>
  </sheetViews>
  <sheetFormatPr baseColWidth="10" defaultRowHeight="16" x14ac:dyDescent="0.2"/>
  <cols>
    <col min="2" max="2" width="55.6640625" customWidth="1"/>
    <col min="3" max="3" width="48" style="6" customWidth="1"/>
    <col min="5" max="5" width="14.5" customWidth="1"/>
    <col min="6" max="6" width="33.1640625" customWidth="1"/>
    <col min="7" max="7" width="32.1640625" style="7" customWidth="1"/>
  </cols>
  <sheetData>
    <row r="1" spans="2:7" x14ac:dyDescent="0.2">
      <c r="B1" s="459" t="s">
        <v>302</v>
      </c>
      <c r="C1" s="459"/>
    </row>
    <row r="2" spans="2:7" ht="17" thickBot="1" x14ac:dyDescent="0.25">
      <c r="B2" s="8"/>
      <c r="C2" s="9"/>
    </row>
    <row r="3" spans="2:7" ht="17" thickBot="1" x14ac:dyDescent="0.25">
      <c r="B3" s="463" t="s">
        <v>69</v>
      </c>
      <c r="C3" s="464"/>
    </row>
    <row r="4" spans="2:7" ht="17" x14ac:dyDescent="0.2">
      <c r="B4" s="119" t="s">
        <v>368</v>
      </c>
      <c r="C4" s="445">
        <f>'Customer Details'!F3</f>
        <v>45909</v>
      </c>
      <c r="E4" s="368" t="s">
        <v>393</v>
      </c>
      <c r="F4" s="368" t="s">
        <v>396</v>
      </c>
      <c r="G4" s="368" t="s">
        <v>657</v>
      </c>
    </row>
    <row r="5" spans="2:7" ht="34" x14ac:dyDescent="0.2">
      <c r="B5" s="104" t="s">
        <v>740</v>
      </c>
      <c r="C5" s="171" t="str">
        <f>'Customer Details'!F4</f>
        <v>Dilli</v>
      </c>
      <c r="E5" s="5" t="s">
        <v>400</v>
      </c>
      <c r="F5" s="369" t="s">
        <v>397</v>
      </c>
      <c r="G5" s="370" t="s">
        <v>744</v>
      </c>
    </row>
    <row r="6" spans="2:7" ht="17" x14ac:dyDescent="0.2">
      <c r="B6" s="104" t="s">
        <v>105</v>
      </c>
      <c r="C6" s="171" t="str">
        <f>'Customer Details'!C4</f>
        <v>Fedilia Perriera</v>
      </c>
      <c r="E6" s="5" t="s">
        <v>401</v>
      </c>
      <c r="F6" s="369" t="s">
        <v>398</v>
      </c>
      <c r="G6" s="5" t="s">
        <v>745</v>
      </c>
    </row>
    <row r="7" spans="2:7" ht="17" x14ac:dyDescent="0.2">
      <c r="B7" s="104" t="s">
        <v>369</v>
      </c>
      <c r="C7" s="171" t="str">
        <f>'Customer Details'!C63</f>
        <v xml:space="preserve">Working Capital </v>
      </c>
      <c r="E7" s="5" t="s">
        <v>402</v>
      </c>
      <c r="F7" s="369" t="s">
        <v>399</v>
      </c>
      <c r="G7" s="370" t="s">
        <v>746</v>
      </c>
    </row>
    <row r="8" spans="2:7" ht="17" x14ac:dyDescent="0.2">
      <c r="B8" s="104" t="s">
        <v>370</v>
      </c>
      <c r="C8" s="172" t="str">
        <f>'Customer Details'!C48</f>
        <v>Trading</v>
      </c>
      <c r="E8" s="5" t="s">
        <v>403</v>
      </c>
      <c r="F8" s="371" t="s">
        <v>479</v>
      </c>
      <c r="G8" s="372" t="s">
        <v>658</v>
      </c>
    </row>
    <row r="9" spans="2:7" ht="17" x14ac:dyDescent="0.2">
      <c r="B9" s="104" t="s">
        <v>371</v>
      </c>
      <c r="C9" s="172" t="str">
        <f>'Customer Details'!C49</f>
        <v>Garments</v>
      </c>
      <c r="E9" s="5" t="s">
        <v>404</v>
      </c>
      <c r="F9" s="371" t="s">
        <v>659</v>
      </c>
      <c r="G9" s="372" t="s">
        <v>658</v>
      </c>
    </row>
    <row r="10" spans="2:7" ht="17" x14ac:dyDescent="0.2">
      <c r="B10" s="104" t="s">
        <v>372</v>
      </c>
      <c r="C10" s="172" t="str">
        <f>'Customer Details'!C84</f>
        <v>Mandiri</v>
      </c>
      <c r="E10" s="5" t="s">
        <v>405</v>
      </c>
      <c r="F10" s="371" t="s">
        <v>422</v>
      </c>
      <c r="G10" s="370" t="s">
        <v>747</v>
      </c>
    </row>
    <row r="11" spans="2:7" ht="20" x14ac:dyDescent="0.2">
      <c r="B11" s="104" t="s">
        <v>378</v>
      </c>
      <c r="C11" s="67" t="s">
        <v>379</v>
      </c>
      <c r="E11" s="5" t="s">
        <v>423</v>
      </c>
      <c r="F11" s="369" t="s">
        <v>424</v>
      </c>
      <c r="G11" s="5" t="s">
        <v>425</v>
      </c>
    </row>
    <row r="12" spans="2:7" ht="17" x14ac:dyDescent="0.2">
      <c r="B12" s="104" t="s">
        <v>373</v>
      </c>
      <c r="C12" s="171">
        <f>'Customer Details'!C69</f>
        <v>20000</v>
      </c>
      <c r="E12" s="5" t="s">
        <v>485</v>
      </c>
      <c r="F12" s="371" t="s">
        <v>480</v>
      </c>
      <c r="G12" s="370" t="s">
        <v>660</v>
      </c>
    </row>
    <row r="13" spans="2:7" ht="17" x14ac:dyDescent="0.2">
      <c r="B13" s="104" t="s">
        <v>374</v>
      </c>
      <c r="C13" s="171">
        <f>'Customer Details'!C60</f>
        <v>24</v>
      </c>
      <c r="E13" s="5" t="s">
        <v>486</v>
      </c>
      <c r="F13" s="371" t="s">
        <v>668</v>
      </c>
      <c r="G13" s="5" t="s">
        <v>482</v>
      </c>
    </row>
    <row r="14" spans="2:7" ht="17" x14ac:dyDescent="0.2">
      <c r="B14" s="104" t="s">
        <v>375</v>
      </c>
      <c r="C14" s="173">
        <f>'Customer Details'!C61</f>
        <v>0.12</v>
      </c>
      <c r="E14" s="5" t="s">
        <v>487</v>
      </c>
      <c r="F14" s="371" t="s">
        <v>669</v>
      </c>
      <c r="G14" s="5" t="s">
        <v>483</v>
      </c>
    </row>
    <row r="15" spans="2:7" ht="17" x14ac:dyDescent="0.2">
      <c r="B15" s="104" t="s">
        <v>434</v>
      </c>
      <c r="C15" s="173">
        <f>'Customer Details'!C62</f>
        <v>0</v>
      </c>
      <c r="E15" s="5" t="s">
        <v>488</v>
      </c>
      <c r="F15" s="371" t="s">
        <v>666</v>
      </c>
      <c r="G15" s="370">
        <v>1.25</v>
      </c>
    </row>
    <row r="16" spans="2:7" ht="34" x14ac:dyDescent="0.2">
      <c r="B16" s="104" t="s">
        <v>376</v>
      </c>
      <c r="C16" s="189" t="s">
        <v>54</v>
      </c>
      <c r="E16" s="5" t="s">
        <v>664</v>
      </c>
      <c r="F16" s="371" t="s">
        <v>667</v>
      </c>
      <c r="G16" s="370" t="s">
        <v>661</v>
      </c>
    </row>
    <row r="17" spans="2:7" ht="17" customHeight="1" x14ac:dyDescent="0.2">
      <c r="B17" s="104" t="s">
        <v>377</v>
      </c>
      <c r="C17" s="189" t="s">
        <v>147</v>
      </c>
      <c r="E17" s="5" t="s">
        <v>665</v>
      </c>
      <c r="F17" s="371" t="s">
        <v>662</v>
      </c>
      <c r="G17" s="370" t="s">
        <v>663</v>
      </c>
    </row>
    <row r="18" spans="2:7" ht="17" x14ac:dyDescent="0.2">
      <c r="B18" s="104" t="s">
        <v>380</v>
      </c>
      <c r="C18" s="171" t="str">
        <f>'Customer Details'!C128</f>
        <v>Positive</v>
      </c>
    </row>
    <row r="19" spans="2:7" ht="17" x14ac:dyDescent="0.2">
      <c r="B19" s="104" t="s">
        <v>381</v>
      </c>
      <c r="C19" s="171">
        <f>'Customer Details'!C141</f>
        <v>0</v>
      </c>
    </row>
    <row r="20" spans="2:7" ht="17" x14ac:dyDescent="0.2">
      <c r="B20" s="104" t="s">
        <v>386</v>
      </c>
      <c r="C20" s="171" t="str" cm="1">
        <f t="array" aca="1" ref="C20:D20" ca="1">'Expert Scorecard'!I49:J49</f>
        <v>High Risk</v>
      </c>
      <c r="D20">
        <f ca="1"/>
        <v>0</v>
      </c>
    </row>
    <row r="21" spans="2:7" ht="17" x14ac:dyDescent="0.2">
      <c r="B21" s="104" t="s">
        <v>415</v>
      </c>
      <c r="C21" s="188">
        <f>'Output Sheet &lt;=$50000'!E58</f>
        <v>0.1663863524828208</v>
      </c>
    </row>
    <row r="22" spans="2:7" ht="17" x14ac:dyDescent="0.2">
      <c r="B22" s="104" t="s">
        <v>389</v>
      </c>
      <c r="C22" s="189" t="s">
        <v>54</v>
      </c>
    </row>
    <row r="23" spans="2:7" ht="17" x14ac:dyDescent="0.2">
      <c r="B23" s="104" t="s">
        <v>477</v>
      </c>
      <c r="C23" s="171">
        <f>'Customer Details'!C81+'Customer Details'!F81+'Customer Details'!C87+'Customer Details'!F87+'Customer Details'!C95+'Customer Details'!F95+'Customer Details'!C101+'Customer Details'!F101</f>
        <v>89000</v>
      </c>
    </row>
    <row r="24" spans="2:7" ht="17" x14ac:dyDescent="0.2">
      <c r="B24" s="104" t="s">
        <v>390</v>
      </c>
      <c r="C24" s="239">
        <f>C23/'Customer Details'!C69</f>
        <v>4.45</v>
      </c>
    </row>
    <row r="25" spans="2:7" ht="17" x14ac:dyDescent="0.2">
      <c r="B25" s="104" t="s">
        <v>391</v>
      </c>
      <c r="C25" s="189" t="s">
        <v>54</v>
      </c>
    </row>
    <row r="26" spans="2:7" ht="17" x14ac:dyDescent="0.2">
      <c r="B26" s="104" t="s">
        <v>393</v>
      </c>
      <c r="C26" s="67"/>
    </row>
    <row r="27" spans="2:7" ht="34" customHeight="1" x14ac:dyDescent="0.2">
      <c r="B27" s="579" t="s">
        <v>392</v>
      </c>
      <c r="C27" s="582" t="s">
        <v>418</v>
      </c>
    </row>
    <row r="28" spans="2:7" ht="17" customHeight="1" x14ac:dyDescent="0.2">
      <c r="B28" s="580"/>
      <c r="C28" s="583"/>
    </row>
    <row r="29" spans="2:7" ht="17" thickBot="1" x14ac:dyDescent="0.25">
      <c r="B29" s="581"/>
      <c r="C29" s="584"/>
    </row>
    <row r="31" spans="2:7" x14ac:dyDescent="0.2">
      <c r="B31" s="578" t="s">
        <v>188</v>
      </c>
      <c r="C31" s="578"/>
    </row>
    <row r="32" spans="2:7" ht="69" thickBot="1" x14ac:dyDescent="0.25">
      <c r="B32" s="128" t="s">
        <v>100</v>
      </c>
      <c r="C32" s="98" t="s">
        <v>748</v>
      </c>
    </row>
    <row r="33" spans="2:3" ht="103" thickBot="1" x14ac:dyDescent="0.25">
      <c r="B33" s="128" t="s">
        <v>101</v>
      </c>
      <c r="C33" s="98" t="s">
        <v>749</v>
      </c>
    </row>
    <row r="34" spans="2:3" ht="52" thickBot="1" x14ac:dyDescent="0.25">
      <c r="B34" s="128" t="s">
        <v>102</v>
      </c>
      <c r="C34" s="98" t="s">
        <v>750</v>
      </c>
    </row>
    <row r="35" spans="2:3" ht="52" thickBot="1" x14ac:dyDescent="0.25">
      <c r="B35" s="128" t="s">
        <v>410</v>
      </c>
      <c r="C35" s="98" t="s">
        <v>751</v>
      </c>
    </row>
    <row r="36" spans="2:3" ht="52" thickBot="1" x14ac:dyDescent="0.25">
      <c r="B36" s="128" t="s">
        <v>411</v>
      </c>
      <c r="C36" s="98" t="s">
        <v>752</v>
      </c>
    </row>
    <row r="37" spans="2:3" ht="52" thickBot="1" x14ac:dyDescent="0.25">
      <c r="B37" s="128" t="s">
        <v>414</v>
      </c>
      <c r="C37" s="98" t="s">
        <v>478</v>
      </c>
    </row>
    <row r="38" spans="2:3" ht="52" thickBot="1" x14ac:dyDescent="0.25">
      <c r="B38" s="128" t="s">
        <v>103</v>
      </c>
      <c r="C38" s="98" t="s">
        <v>753</v>
      </c>
    </row>
    <row r="40" spans="2:3" ht="17" thickBot="1" x14ac:dyDescent="0.25"/>
    <row r="41" spans="2:3" ht="17" thickBot="1" x14ac:dyDescent="0.25">
      <c r="B41" s="576" t="s">
        <v>413</v>
      </c>
      <c r="C41" s="577"/>
    </row>
    <row r="42" spans="2:3" ht="68" x14ac:dyDescent="0.2">
      <c r="B42" s="192" t="s">
        <v>412</v>
      </c>
      <c r="C42" s="190" t="s">
        <v>754</v>
      </c>
    </row>
    <row r="43" spans="2:3" ht="18" thickBot="1" x14ac:dyDescent="0.25">
      <c r="B43" s="133" t="s">
        <v>406</v>
      </c>
      <c r="C43" s="191" t="s">
        <v>407</v>
      </c>
    </row>
  </sheetData>
  <mergeCells count="6">
    <mergeCell ref="B41:C41"/>
    <mergeCell ref="B31:C31"/>
    <mergeCell ref="B1:C1"/>
    <mergeCell ref="B3:C3"/>
    <mergeCell ref="B27:B29"/>
    <mergeCell ref="C27:C29"/>
  </mergeCells>
  <phoneticPr fontId="15"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BC4BBF7-F357-7B4B-A123-FDD030193719}">
          <x14:formula1>
            <xm:f>Lists!$B$2:$B$4</xm:f>
          </x14:formula1>
          <xm:sqref>C16:C17 C22 C25</xm:sqref>
        </x14:dataValidation>
        <x14:dataValidation type="list" allowBlank="1" showInputMessage="1" showErrorMessage="1" xr:uid="{8BAD2C46-6260-3F46-AAA2-86BC4F6DF6FB}">
          <x14:formula1>
            <xm:f>Lists!$B$140:$B$142</xm:f>
          </x14:formula1>
          <xm:sqref>C43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Lists</vt:lpstr>
      <vt:lpstr>Customer Details</vt:lpstr>
      <vt:lpstr>Input Sheet &lt;=$50000</vt:lpstr>
      <vt:lpstr>Output Sheet &lt;=$50000</vt:lpstr>
      <vt:lpstr>Expert Scorecard</vt:lpstr>
      <vt:lpstr>Financial Analysis &gt;$50000</vt:lpstr>
      <vt:lpstr>Bank Analysis &gt;$50000</vt:lpstr>
      <vt:lpstr>Credit App Memo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ARIJIT CHANDA</dc:creator>
  <cp:keywords/>
  <dc:description/>
  <cp:lastModifiedBy>ARIJIT CHANDA</cp:lastModifiedBy>
  <dcterms:created xsi:type="dcterms:W3CDTF">2022-06-26T11:57:46Z</dcterms:created>
  <dcterms:modified xsi:type="dcterms:W3CDTF">2025-09-20T07:51:08Z</dcterms:modified>
  <cp:category/>
</cp:coreProperties>
</file>